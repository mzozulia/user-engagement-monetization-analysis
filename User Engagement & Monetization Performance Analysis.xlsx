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raw_data_edited" sheetId="2" r:id="rId6"/>
    <sheet state="visible" name="statistics_analysis" sheetId="3" r:id="rId7"/>
    <sheet state="visible" name="Explanation" sheetId="4" r:id="rId8"/>
  </sheets>
  <definedNames>
    <definedName hidden="1" localSheetId="1" name="_xlnm._FilterDatabase">raw_data_edited!$A$1:$E$1501</definedName>
  </definedNames>
  <calcPr/>
</workbook>
</file>

<file path=xl/sharedStrings.xml><?xml version="1.0" encoding="utf-8"?>
<sst xmlns="http://schemas.openxmlformats.org/spreadsheetml/2006/main" count="1004" uniqueCount="511">
  <si>
    <t>user_id</t>
  </si>
  <si>
    <t>Conclusion</t>
  </si>
  <si>
    <t>sessions</t>
  </si>
  <si>
    <t>payments</t>
  </si>
  <si>
    <t>The calculated average payment is $10.06, while the median is $6.71. Because the mean is noticeably higher than the median, the distribution is right-skewed. This proves that a small number of high-value transactions are driving the average up.</t>
  </si>
  <si>
    <t>game_time_minutes</t>
  </si>
  <si>
    <t>payment_outlier</t>
  </si>
  <si>
    <t>The most frequent number of sessions per user is 4 (Mode), with an overall average of 4.97 sessions and an average game time of 119.99 minutes per user.</t>
  </si>
  <si>
    <t>As visualized in the payments histogram, the highest volume of transactions is heavily concentrated in the lowest bin of $0.00 to $3.64.</t>
  </si>
  <si>
    <t>1d60048e</t>
  </si>
  <si>
    <t>While 95.4% of users make standard payments clustered under $30.91 (primarily concentrated below $3.64), the overall average revenue is highly dependent on the 4.6% high-outlier group.</t>
  </si>
  <si>
    <t>Engagement is highly stable, with users typically clocking around 120 minutes of game time and naturally clustering at 4 sessions.</t>
  </si>
  <si>
    <t>811a2f2a</t>
  </si>
  <si>
    <t>6e68de94</t>
  </si>
  <si>
    <t>7b235456</t>
  </si>
  <si>
    <t>8337899e</t>
  </si>
  <si>
    <t>759a5069</t>
  </si>
  <si>
    <t>4c9d013e</t>
  </si>
  <si>
    <t>4026f24f</t>
  </si>
  <si>
    <t>669e8315</t>
  </si>
  <si>
    <t>0d88ee75</t>
  </si>
  <si>
    <t>e2378c6f</t>
  </si>
  <si>
    <t>6b94e85b</t>
  </si>
  <si>
    <t>6e45e7d5</t>
  </si>
  <si>
    <t>54090cc3</t>
  </si>
  <si>
    <t>7481e45c</t>
  </si>
  <si>
    <t>eccdf5ae</t>
  </si>
  <si>
    <t>76891cee</t>
  </si>
  <si>
    <t>4f58208b</t>
  </si>
  <si>
    <t>01b2e085</t>
  </si>
  <si>
    <t>546fb065</t>
  </si>
  <si>
    <t>03e96928</t>
  </si>
  <si>
    <t>c0ffb1c2</t>
  </si>
  <si>
    <t>01a81cf4</t>
  </si>
  <si>
    <t>610cc820</t>
  </si>
  <si>
    <t>34de7d56</t>
  </si>
  <si>
    <t>ae5f54b2</t>
  </si>
  <si>
    <t>12d050c7</t>
  </si>
  <si>
    <t>9123e27d</t>
  </si>
  <si>
    <t>638be16d</t>
  </si>
  <si>
    <t>9776d477</t>
  </si>
  <si>
    <t>4aa8ba3a</t>
  </si>
  <si>
    <t>9f561ef9</t>
  </si>
  <si>
    <t>ef524e8e</t>
  </si>
  <si>
    <t>e8284a86</t>
  </si>
  <si>
    <t>c185dea0</t>
  </si>
  <si>
    <t>968c1344</t>
  </si>
  <si>
    <t>93b41fb0</t>
  </si>
  <si>
    <t>9430f323</t>
  </si>
  <si>
    <t>b0a45bdc</t>
  </si>
  <si>
    <t>998c6b42</t>
  </si>
  <si>
    <t>8f161017</t>
  </si>
  <si>
    <t>28df8147</t>
  </si>
  <si>
    <t>6932221e</t>
  </si>
  <si>
    <t>ef7d7144</t>
  </si>
  <si>
    <t>1fb2537c</t>
  </si>
  <si>
    <t>101f5728</t>
  </si>
  <si>
    <t>ecdd3e5b</t>
  </si>
  <si>
    <t>43ec3229</t>
  </si>
  <si>
    <t>c96b54b8</t>
  </si>
  <si>
    <t>85a21042</t>
  </si>
  <si>
    <t>1d80c16e</t>
  </si>
  <si>
    <t>840d59a0</t>
  </si>
  <si>
    <t>db7b71c7</t>
  </si>
  <si>
    <t>493feba2</t>
  </si>
  <si>
    <t>4475d80f</t>
  </si>
  <si>
    <t>9a8bf660</t>
  </si>
  <si>
    <t>a63036de</t>
  </si>
  <si>
    <t>c2d19bca</t>
  </si>
  <si>
    <t>2f02bd19</t>
  </si>
  <si>
    <t>f0f58b4e</t>
  </si>
  <si>
    <t>57b10f86</t>
  </si>
  <si>
    <t>bae0c918</t>
  </si>
  <si>
    <t>bbb492d7</t>
  </si>
  <si>
    <t>cb81de2e</t>
  </si>
  <si>
    <t>a8101656</t>
  </si>
  <si>
    <t>3a57ee99</t>
  </si>
  <si>
    <t>8b5d3852</t>
  </si>
  <si>
    <t>f27733d5</t>
  </si>
  <si>
    <t>33bde636</t>
  </si>
  <si>
    <t>fbcdc01b</t>
  </si>
  <si>
    <t>31dc3508</t>
  </si>
  <si>
    <t>e6d4407b</t>
  </si>
  <si>
    <t>6e33e629</t>
  </si>
  <si>
    <t>23d53a24</t>
  </si>
  <si>
    <t>2322cc52</t>
  </si>
  <si>
    <t>c5077b74</t>
  </si>
  <si>
    <t>921d1d76</t>
  </si>
  <si>
    <t>9ac62214</t>
  </si>
  <si>
    <t>50bf44a4</t>
  </si>
  <si>
    <t>beabe8ed</t>
  </si>
  <si>
    <t>2ec025d9</t>
  </si>
  <si>
    <t>1003f78c</t>
  </si>
  <si>
    <t>d0bf9791</t>
  </si>
  <si>
    <t>1cac7266</t>
  </si>
  <si>
    <t>55f64c82</t>
  </si>
  <si>
    <t>4efb1e3b</t>
  </si>
  <si>
    <t>da0b7a07</t>
  </si>
  <si>
    <t>059504b0</t>
  </si>
  <si>
    <t>4cb06a50</t>
  </si>
  <si>
    <t>e9d203ef</t>
  </si>
  <si>
    <t>753ed5f5</t>
  </si>
  <si>
    <t>3eee8e3f</t>
  </si>
  <si>
    <t>ee6ec3d7</t>
  </si>
  <si>
    <t>18b298ce</t>
  </si>
  <si>
    <t>c796bc91</t>
  </si>
  <si>
    <t>b73546ef</t>
  </si>
  <si>
    <t>65d0ee1a</t>
  </si>
  <si>
    <t>829d5df7</t>
  </si>
  <si>
    <t>b10848b2</t>
  </si>
  <si>
    <t>a2a45a90</t>
  </si>
  <si>
    <t>76af5bab</t>
  </si>
  <si>
    <t>e03731cb</t>
  </si>
  <si>
    <t>050cc34c</t>
  </si>
  <si>
    <t>9d51415c</t>
  </si>
  <si>
    <t>8aa69532</t>
  </si>
  <si>
    <t>3e878d03</t>
  </si>
  <si>
    <t>7cb4c055</t>
  </si>
  <si>
    <t>8acbcb61</t>
  </si>
  <si>
    <t>7210d305</t>
  </si>
  <si>
    <t>8411b011</t>
  </si>
  <si>
    <t>b8bec59f</t>
  </si>
  <si>
    <t>24e01fd2</t>
  </si>
  <si>
    <t>8b5f76f6</t>
  </si>
  <si>
    <t>c5f2f19d</t>
  </si>
  <si>
    <t>280148ad</t>
  </si>
  <si>
    <t>05ff51bd</t>
  </si>
  <si>
    <t>9425bcff</t>
  </si>
  <si>
    <t>bb4c60c1</t>
  </si>
  <si>
    <t>0dbf96db</t>
  </si>
  <si>
    <t>9063d423</t>
  </si>
  <si>
    <t>153d1109</t>
  </si>
  <si>
    <t>5db0dab5</t>
  </si>
  <si>
    <t>f9cc7a07</t>
  </si>
  <si>
    <t>9456b0f0</t>
  </si>
  <si>
    <t>78d37e1c</t>
  </si>
  <si>
    <t>aa168152</t>
  </si>
  <si>
    <t>a8b0e10b</t>
  </si>
  <si>
    <t>f121b6bd</t>
  </si>
  <si>
    <t>4e1bf6c0</t>
  </si>
  <si>
    <t>e178121a</t>
  </si>
  <si>
    <t>6ee4ff73</t>
  </si>
  <si>
    <t>dae31ae8</t>
  </si>
  <si>
    <t>c248f3a4</t>
  </si>
  <si>
    <t>41977f19</t>
  </si>
  <si>
    <t>4b457ee1</t>
  </si>
  <si>
    <t>80e2ca91</t>
  </si>
  <si>
    <t>350aa310</t>
  </si>
  <si>
    <t>7ff986a4</t>
  </si>
  <si>
    <t>9989b527</t>
  </si>
  <si>
    <t>81ff8b45</t>
  </si>
  <si>
    <t>01e54d2f</t>
  </si>
  <si>
    <t>269ed5af</t>
  </si>
  <si>
    <t>d174f661</t>
  </si>
  <si>
    <t>b330381a</t>
  </si>
  <si>
    <t>b74249b3</t>
  </si>
  <si>
    <t>7c3b5c13</t>
  </si>
  <si>
    <t>a1cc4258</t>
  </si>
  <si>
    <t>f662a3d3</t>
  </si>
  <si>
    <t>ac941a2e</t>
  </si>
  <si>
    <t>a4133737</t>
  </si>
  <si>
    <t>8dac2dba</t>
  </si>
  <si>
    <t>0f35f774</t>
  </si>
  <si>
    <t>3296f644</t>
  </si>
  <si>
    <t>2f38c2d7</t>
  </si>
  <si>
    <t>dfb3dbe0</t>
  </si>
  <si>
    <t>394f4c6f</t>
  </si>
  <si>
    <t>32b580cd</t>
  </si>
  <si>
    <t>fa887b8c</t>
  </si>
  <si>
    <t>cff4be04</t>
  </si>
  <si>
    <t>40805fd5</t>
  </si>
  <si>
    <t>25c1fb4d</t>
  </si>
  <si>
    <t>aa845d1f</t>
  </si>
  <si>
    <t>8026677d</t>
  </si>
  <si>
    <t>517f1992</t>
  </si>
  <si>
    <t>a8698a68</t>
  </si>
  <si>
    <t>69e0124d</t>
  </si>
  <si>
    <t>504a9c64</t>
  </si>
  <si>
    <t>c27e28e4</t>
  </si>
  <si>
    <t>7e7dea93</t>
  </si>
  <si>
    <t>b6b66e47</t>
  </si>
  <si>
    <t>0ccda666</t>
  </si>
  <si>
    <t>fa8de8c9</t>
  </si>
  <si>
    <t>7fb5c783</t>
  </si>
  <si>
    <t>ad797bb1</t>
  </si>
  <si>
    <t>816d0b8d</t>
  </si>
  <si>
    <t>bb110683</t>
  </si>
  <si>
    <t>4c4a8eba</t>
  </si>
  <si>
    <t>6f54ef21</t>
  </si>
  <si>
    <t>ddb15aa8</t>
  </si>
  <si>
    <t>b0152a66</t>
  </si>
  <si>
    <t>b3979dda</t>
  </si>
  <si>
    <t>cd67ecb3</t>
  </si>
  <si>
    <t>336ec650</t>
  </si>
  <si>
    <t>ecac6764</t>
  </si>
  <si>
    <t>1a599daa</t>
  </si>
  <si>
    <t>e1ebf99d</t>
  </si>
  <si>
    <t>e0b8b962</t>
  </si>
  <si>
    <t>42bc8f1d</t>
  </si>
  <si>
    <t>2e1f0cd1</t>
  </si>
  <si>
    <t>1520b001</t>
  </si>
  <si>
    <t>d13c3738</t>
  </si>
  <si>
    <t>3463ca9c</t>
  </si>
  <si>
    <t>f3cc3863</t>
  </si>
  <si>
    <t>7893a80f</t>
  </si>
  <si>
    <t>611f128b</t>
  </si>
  <si>
    <t>1ed66f3c</t>
  </si>
  <si>
    <t>d0beafba</t>
  </si>
  <si>
    <t>02520c2c</t>
  </si>
  <si>
    <t>6b19aba5</t>
  </si>
  <si>
    <t>d5351c64</t>
  </si>
  <si>
    <t>235d7870</t>
  </si>
  <si>
    <t>017c54c8</t>
  </si>
  <si>
    <t>288f157f</t>
  </si>
  <si>
    <t>724c4a59</t>
  </si>
  <si>
    <t>2785296b</t>
  </si>
  <si>
    <t>c82f4f73</t>
  </si>
  <si>
    <t>5cf4c9b8</t>
  </si>
  <si>
    <t>7d40da51</t>
  </si>
  <si>
    <t>04bbf37b</t>
  </si>
  <si>
    <t>b01fe067</t>
  </si>
  <si>
    <t>406d44e4</t>
  </si>
  <si>
    <t>87c9b71b</t>
  </si>
  <si>
    <t>492a2045</t>
  </si>
  <si>
    <t>711177f8</t>
  </si>
  <si>
    <t>cdecadcc</t>
  </si>
  <si>
    <t>4c7d607a</t>
  </si>
  <si>
    <t>259818cf</t>
  </si>
  <si>
    <t>048663b0</t>
  </si>
  <si>
    <t>3e8a62de</t>
  </si>
  <si>
    <t>ab1ac3f6</t>
  </si>
  <si>
    <t>c91d639f</t>
  </si>
  <si>
    <t>6fad0a11</t>
  </si>
  <si>
    <t>8844aee4</t>
  </si>
  <si>
    <t>2acd4b15</t>
  </si>
  <si>
    <t>30f00647</t>
  </si>
  <si>
    <t>a1f8b38e</t>
  </si>
  <si>
    <t>e87030a4</t>
  </si>
  <si>
    <t>b3059c1b</t>
  </si>
  <si>
    <t>443a5760</t>
  </si>
  <si>
    <t>7a74ae49</t>
  </si>
  <si>
    <t>2fa5994c</t>
  </si>
  <si>
    <t>e01a1507</t>
  </si>
  <si>
    <t>b26e99c3</t>
  </si>
  <si>
    <t>e068c704</t>
  </si>
  <si>
    <t>1d713e5d</t>
  </si>
  <si>
    <t>ec3234d7</t>
  </si>
  <si>
    <t>ba9c31e6</t>
  </si>
  <si>
    <t>9b9ffcc5</t>
  </si>
  <si>
    <t>8edc2220</t>
  </si>
  <si>
    <t>4216f3ee</t>
  </si>
  <si>
    <t>7e356012</t>
  </si>
  <si>
    <t>574bcaca</t>
  </si>
  <si>
    <t>e88862e5</t>
  </si>
  <si>
    <t>ea43a14a</t>
  </si>
  <si>
    <t>44840a1a</t>
  </si>
  <si>
    <t>bcd77fc2</t>
  </si>
  <si>
    <t>c9a67758</t>
  </si>
  <si>
    <t>34d5744a</t>
  </si>
  <si>
    <t>e3e2d5de</t>
  </si>
  <si>
    <t>8c8b18d8</t>
  </si>
  <si>
    <t>e8592c53</t>
  </si>
  <si>
    <t>c96dbb25</t>
  </si>
  <si>
    <t>48d80989</t>
  </si>
  <si>
    <t>080b3f33</t>
  </si>
  <si>
    <t>8383e0a8</t>
  </si>
  <si>
    <t>e1623dba</t>
  </si>
  <si>
    <t>9ea5e985</t>
  </si>
  <si>
    <t>33b71c92</t>
  </si>
  <si>
    <t>d6d748a7</t>
  </si>
  <si>
    <t>59df560b</t>
  </si>
  <si>
    <t>da044d76</t>
  </si>
  <si>
    <t>23d92d5a</t>
  </si>
  <si>
    <t>738808d4</t>
  </si>
  <si>
    <t>c34a4559</t>
  </si>
  <si>
    <t>f059e92c</t>
  </si>
  <si>
    <t>d0bcaacb</t>
  </si>
  <si>
    <t>467b5b91</t>
  </si>
  <si>
    <t>78fa162e</t>
  </si>
  <si>
    <t>0de9c453</t>
  </si>
  <si>
    <t>630ca20f</t>
  </si>
  <si>
    <t>0e1f175d</t>
  </si>
  <si>
    <t>e2f721dd</t>
  </si>
  <si>
    <t>9bc37435</t>
  </si>
  <si>
    <t>55e8c955</t>
  </si>
  <si>
    <t>18fe2a1d</t>
  </si>
  <si>
    <t>792b0313</t>
  </si>
  <si>
    <t>57468f98</t>
  </si>
  <si>
    <t>34a5e603</t>
  </si>
  <si>
    <t>ed377ae8</t>
  </si>
  <si>
    <t>49c89aa5</t>
  </si>
  <si>
    <t>4106402a</t>
  </si>
  <si>
    <t>a74ad6b0</t>
  </si>
  <si>
    <t>c8281a28</t>
  </si>
  <si>
    <t>35b7bafb</t>
  </si>
  <si>
    <t>4ec5602f</t>
  </si>
  <si>
    <t>fda3aa59</t>
  </si>
  <si>
    <t>c4c3c620</t>
  </si>
  <si>
    <t>9a88f139</t>
  </si>
  <si>
    <t>7c7cc8d1</t>
  </si>
  <si>
    <t>a1b27427</t>
  </si>
  <si>
    <t>c005588a</t>
  </si>
  <si>
    <t>87450a63</t>
  </si>
  <si>
    <t>ad4b8376</t>
  </si>
  <si>
    <t>b8633dda</t>
  </si>
  <si>
    <t>ff38597d</t>
  </si>
  <si>
    <t>83068eda</t>
  </si>
  <si>
    <t>d93440dd</t>
  </si>
  <si>
    <t>5049dff3</t>
  </si>
  <si>
    <t>9abe8533</t>
  </si>
  <si>
    <t>0de0f8af</t>
  </si>
  <si>
    <t>b1cba7ae</t>
  </si>
  <si>
    <t>e40ad587</t>
  </si>
  <si>
    <t>4778edea</t>
  </si>
  <si>
    <t>bbcabf13</t>
  </si>
  <si>
    <t>7916fc79</t>
  </si>
  <si>
    <t>1d4d5e24</t>
  </si>
  <si>
    <t>54b1c68c</t>
  </si>
  <si>
    <t>cf0b0096</t>
  </si>
  <si>
    <t>cc44019d</t>
  </si>
  <si>
    <t>1ae3dfc3</t>
  </si>
  <si>
    <t>e5f7d46e</t>
  </si>
  <si>
    <t>69cb3afd</t>
  </si>
  <si>
    <t>0ef50e39</t>
  </si>
  <si>
    <t>25efb9c3</t>
  </si>
  <si>
    <t>00bcecec</t>
  </si>
  <si>
    <t>0460bd1b</t>
  </si>
  <si>
    <t>2f441b26</t>
  </si>
  <si>
    <t>987606ef</t>
  </si>
  <si>
    <t>7b59e0a2</t>
  </si>
  <si>
    <t>4abf0249</t>
  </si>
  <si>
    <t>52e05950</t>
  </si>
  <si>
    <t>3b6cf928</t>
  </si>
  <si>
    <t>4a2ae0b6</t>
  </si>
  <si>
    <t>133024f1</t>
  </si>
  <si>
    <t>16c318a1</t>
  </si>
  <si>
    <t>4d86ef31</t>
  </si>
  <si>
    <t>fcccdb77</t>
  </si>
  <si>
    <t>ef8e03d4</t>
  </si>
  <si>
    <t>0d24b6b3</t>
  </si>
  <si>
    <t>bf4b41b8</t>
  </si>
  <si>
    <t>164b6261</t>
  </si>
  <si>
    <t>9bfbd4a4</t>
  </si>
  <si>
    <t>048395af</t>
  </si>
  <si>
    <t>9bff266f</t>
  </si>
  <si>
    <t>3140591a</t>
  </si>
  <si>
    <t>bc9d7991</t>
  </si>
  <si>
    <t>b4f99855</t>
  </si>
  <si>
    <t>46802f26</t>
  </si>
  <si>
    <t>3662efaa</t>
  </si>
  <si>
    <t>e7d56a9a</t>
  </si>
  <si>
    <t>cce65220</t>
  </si>
  <si>
    <t>f42211a8</t>
  </si>
  <si>
    <t>f4a21489</t>
  </si>
  <si>
    <t>0711f669</t>
  </si>
  <si>
    <t>bd6042d9</t>
  </si>
  <si>
    <t>970093af</t>
  </si>
  <si>
    <t>651f5aa1</t>
  </si>
  <si>
    <t>4304b750</t>
  </si>
  <si>
    <t>f5e94d14</t>
  </si>
  <si>
    <t>df99eead</t>
  </si>
  <si>
    <t>c560e973</t>
  </si>
  <si>
    <t>18320ecd</t>
  </si>
  <si>
    <t>f37a3085</t>
  </si>
  <si>
    <t>6298ac23</t>
  </si>
  <si>
    <t>3aeec404</t>
  </si>
  <si>
    <t>29536e4b</t>
  </si>
  <si>
    <t>8513c4e1</t>
  </si>
  <si>
    <t>f30deedf</t>
  </si>
  <si>
    <t>b01e6537</t>
  </si>
  <si>
    <t>061ded0f</t>
  </si>
  <si>
    <t>c92e5778</t>
  </si>
  <si>
    <t>cc6287ef</t>
  </si>
  <si>
    <t>8a89dc4a</t>
  </si>
  <si>
    <t>c66685f4</t>
  </si>
  <si>
    <t>8315c883</t>
  </si>
  <si>
    <t>28251f11</t>
  </si>
  <si>
    <t>8284717d</t>
  </si>
  <si>
    <t>e5be0476</t>
  </si>
  <si>
    <t>7cd45950</t>
  </si>
  <si>
    <t>ef438494</t>
  </si>
  <si>
    <t>a017e975</t>
  </si>
  <si>
    <t>180f7d4b</t>
  </si>
  <si>
    <t>27dfbd11</t>
  </si>
  <si>
    <t>9bb06198</t>
  </si>
  <si>
    <t>95633ec6</t>
  </si>
  <si>
    <t>d0914158</t>
  </si>
  <si>
    <t>6e222892</t>
  </si>
  <si>
    <t>445292d9</t>
  </si>
  <si>
    <t>845e4b98</t>
  </si>
  <si>
    <t>5b35e8cd</t>
  </si>
  <si>
    <t>2994c1d4</t>
  </si>
  <si>
    <t>7afb063e</t>
  </si>
  <si>
    <t>cbf79859</t>
  </si>
  <si>
    <t>7077d64c</t>
  </si>
  <si>
    <t>27dc1dd0</t>
  </si>
  <si>
    <t>af27e680</t>
  </si>
  <si>
    <t>f18538e8</t>
  </si>
  <si>
    <t>d77cd8ad</t>
  </si>
  <si>
    <t>7f5f599b</t>
  </si>
  <si>
    <t>911ef627</t>
  </si>
  <si>
    <t>ce287f89</t>
  </si>
  <si>
    <t>fcd7631e</t>
  </si>
  <si>
    <t>f6b7d446</t>
  </si>
  <si>
    <t>bdfd44b1</t>
  </si>
  <si>
    <t>76f9e8cb</t>
  </si>
  <si>
    <t>1dc7a78d</t>
  </si>
  <si>
    <t>e4230f1b</t>
  </si>
  <si>
    <t>8ee5440d</t>
  </si>
  <si>
    <t>91f0ea0e</t>
  </si>
  <si>
    <t>68da038e</t>
  </si>
  <si>
    <t>04766f15</t>
  </si>
  <si>
    <t>2bd6c030</t>
  </si>
  <si>
    <t>45d9a26c</t>
  </si>
  <si>
    <t>517c365b</t>
  </si>
  <si>
    <t>9219a7d3</t>
  </si>
  <si>
    <t>ad57d31d</t>
  </si>
  <si>
    <t>cfc57961</t>
  </si>
  <si>
    <t>e9805442</t>
  </si>
  <si>
    <t>7b4b70c5</t>
  </si>
  <si>
    <t>55df93d4</t>
  </si>
  <si>
    <t>c29e36ee</t>
  </si>
  <si>
    <t>59a711c1</t>
  </si>
  <si>
    <t>0c013143</t>
  </si>
  <si>
    <t>064b5706</t>
  </si>
  <si>
    <t>e20b8fdb</t>
  </si>
  <si>
    <t>cb41dde9</t>
  </si>
  <si>
    <t>91a1bc8c</t>
  </si>
  <si>
    <t>bfc9db14</t>
  </si>
  <si>
    <t>0257ab4f</t>
  </si>
  <si>
    <t>8aea85d1</t>
  </si>
  <si>
    <t>3462c568</t>
  </si>
  <si>
    <t>dc61027f</t>
  </si>
  <si>
    <t>80ca84bc</t>
  </si>
  <si>
    <t>8bba4ac7</t>
  </si>
  <si>
    <t>62c85ad2</t>
  </si>
  <si>
    <t>839ebd4d</t>
  </si>
  <si>
    <t>0ba47e71</t>
  </si>
  <si>
    <t>1a47becf</t>
  </si>
  <si>
    <t>39ccfd3f</t>
  </si>
  <si>
    <t>14cef828</t>
  </si>
  <si>
    <t>cf3a1543</t>
  </si>
  <si>
    <t>dc851098</t>
  </si>
  <si>
    <t>34f2022c</t>
  </si>
  <si>
    <t>12117b8e</t>
  </si>
  <si>
    <t>2ac46e36</t>
  </si>
  <si>
    <t>54e33f2a</t>
  </si>
  <si>
    <t>6c77719e</t>
  </si>
  <si>
    <t>bedd1ac9</t>
  </si>
  <si>
    <t>a2191336</t>
  </si>
  <si>
    <t>5404f39c</t>
  </si>
  <si>
    <t>5a159aa1</t>
  </si>
  <si>
    <t>18af634f</t>
  </si>
  <si>
    <t>23090bf5</t>
  </si>
  <si>
    <t>4eedba0b</t>
  </si>
  <si>
    <t>8a93e598</t>
  </si>
  <si>
    <t>95e0c65e</t>
  </si>
  <si>
    <t>f4e9c90a</t>
  </si>
  <si>
    <t>3931d18a</t>
  </si>
  <si>
    <t>867278ae</t>
  </si>
  <si>
    <t>f0a7b6f7</t>
  </si>
  <si>
    <t>34e05603</t>
  </si>
  <si>
    <t>d5a81c40</t>
  </si>
  <si>
    <t>fec34ccf</t>
  </si>
  <si>
    <t>3ae93e79</t>
  </si>
  <si>
    <t>7d71474f</t>
  </si>
  <si>
    <t>25b42388</t>
  </si>
  <si>
    <t>71e9dbab</t>
  </si>
  <si>
    <t>08585fac</t>
  </si>
  <si>
    <t>689ea73c</t>
  </si>
  <si>
    <t>0f13992c</t>
  </si>
  <si>
    <t>9bd119f9</t>
  </si>
  <si>
    <t>024c6299</t>
  </si>
  <si>
    <t>7eb38c3f</t>
  </si>
  <si>
    <t>045b5beb</t>
  </si>
  <si>
    <t>196b0fb9</t>
  </si>
  <si>
    <t>4de596f7</t>
  </si>
  <si>
    <t>2d78f03f</t>
  </si>
  <si>
    <t>ec66f9e0</t>
  </si>
  <si>
    <t>869fcb0e</t>
  </si>
  <si>
    <t>e145f260</t>
  </si>
  <si>
    <t>f83a3dba</t>
  </si>
  <si>
    <t>50543ef1</t>
  </si>
  <si>
    <t>4d75cf2a</t>
  </si>
  <si>
    <t>922211a5</t>
  </si>
  <si>
    <t>430d09f1</t>
  </si>
  <si>
    <t>47a32a59</t>
  </si>
  <si>
    <t>520a1217</t>
  </si>
  <si>
    <t>3c06797d</t>
  </si>
  <si>
    <t>4662b440</t>
  </si>
  <si>
    <t>d808de64</t>
  </si>
  <si>
    <t>cfc0fb3e</t>
  </si>
  <si>
    <t>b03c7910</t>
  </si>
  <si>
    <t>AVG</t>
  </si>
  <si>
    <t>Creating a table  for outliers  statistics (using COUNTIF)</t>
  </si>
  <si>
    <t>MED</t>
  </si>
  <si>
    <t>MOD</t>
  </si>
  <si>
    <t>high outlier</t>
  </si>
  <si>
    <t>MIN</t>
  </si>
  <si>
    <t>MAX</t>
  </si>
  <si>
    <t>Chart #1</t>
  </si>
  <si>
    <t>STDEV</t>
  </si>
  <si>
    <t>Q1</t>
  </si>
  <si>
    <t>Q2 (median)</t>
  </si>
  <si>
    <t>Q3</t>
  </si>
  <si>
    <t>IQR</t>
  </si>
  <si>
    <t>Lower bound</t>
  </si>
  <si>
    <t>Upper bound</t>
  </si>
  <si>
    <t>Creating a table for sessions statistics (candlestick chart data)</t>
  </si>
  <si>
    <t>Sessions</t>
  </si>
  <si>
    <t>Chart #2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</si>
</sst>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Montserrat"/>
    </font>
    <font>
      <color theme="1"/>
      <name val="Arial"/>
    </font>
    <font>
      <sz val="12.0"/>
      <color theme="1"/>
      <name val="Arial"/>
    </font>
    <font>
      <sz val="11.0"/>
      <color theme="1"/>
      <name val="Calibri"/>
    </font>
    <font/>
    <font>
      <sz val="11.0"/>
      <color theme="1"/>
      <name val="Montserrat"/>
    </font>
    <font>
      <sz val="9.0"/>
      <color rgb="FF980000"/>
      <name val="Arial"/>
    </font>
    <font>
      <sz val="11.0"/>
      <color theme="1"/>
      <name val="Arial"/>
    </font>
    <font>
      <sz val="11.0"/>
      <color rgb="FF990000"/>
      <name val="Calibri"/>
    </font>
    <font>
      <color theme="1"/>
      <name val="Montserrat"/>
    </font>
    <font>
      <color rgb="FF98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3A8D6"/>
        <bgColor rgb="FFB3A8D6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F3CC"/>
        <bgColor rgb="FFFFF3CC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vertical="center"/>
    </xf>
    <xf borderId="0" fillId="3" fontId="2" numFmtId="0" xfId="0" applyAlignment="1" applyFill="1" applyFont="1">
      <alignment readingOrder="0" shrinkToFit="0" vertical="bottom" wrapText="1"/>
    </xf>
    <xf borderId="0" fillId="2" fontId="1" numFmtId="3" xfId="0" applyAlignment="1" applyFont="1" applyNumberFormat="1">
      <alignment horizontal="center" vertical="center"/>
    </xf>
    <xf borderId="0" fillId="4" fontId="1" numFmtId="2" xfId="0" applyAlignment="1" applyFill="1" applyFont="1" applyNumberFormat="1">
      <alignment horizontal="center" readingOrder="0" vertical="bottom"/>
    </xf>
    <xf borderId="0" fillId="2" fontId="1" numFmtId="4" xfId="0" applyAlignment="1" applyFont="1" applyNumberFormat="1">
      <alignment horizontal="center" vertical="center"/>
    </xf>
    <xf borderId="0" fillId="5" fontId="3" numFmtId="0" xfId="0" applyAlignment="1" applyFill="1" applyFont="1">
      <alignment readingOrder="0" shrinkToFit="0" wrapText="1"/>
    </xf>
    <xf borderId="0" fillId="0" fontId="4" numFmtId="0" xfId="0" applyFont="1"/>
    <xf borderId="0" fillId="5" fontId="3" numFmtId="0" xfId="0" applyAlignment="1" applyFont="1">
      <alignment readingOrder="0" shrinkToFit="0" vertical="bottom" wrapText="1"/>
    </xf>
    <xf borderId="0" fillId="3" fontId="1" numFmtId="49" xfId="0" applyAlignment="1" applyFont="1" applyNumberFormat="1">
      <alignment horizontal="center" vertical="center"/>
    </xf>
    <xf borderId="0" fillId="5" fontId="1" numFmtId="0" xfId="0" applyAlignment="1" applyFont="1">
      <alignment horizontal="center" readingOrder="0" vertical="bottom"/>
    </xf>
    <xf borderId="0" fillId="0" fontId="5" numFmtId="0" xfId="0" applyAlignment="1" applyFont="1">
      <alignment vertical="center"/>
    </xf>
    <xf borderId="0" fillId="5" fontId="6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5" fontId="3" numFmtId="0" xfId="0" applyFont="1"/>
    <xf borderId="0" fillId="5" fontId="4" numFmtId="0" xfId="0" applyFont="1"/>
    <xf borderId="0" fillId="4" fontId="5" numFmtId="0" xfId="0" applyAlignment="1" applyFont="1">
      <alignment readingOrder="0"/>
    </xf>
    <xf borderId="0" fillId="5" fontId="3" numFmtId="0" xfId="0" applyAlignment="1" applyFont="1">
      <alignment readingOrder="0" shrinkToFit="0" wrapText="1"/>
    </xf>
    <xf borderId="0" fillId="4" fontId="8" numFmtId="0" xfId="0" applyAlignment="1" applyFont="1">
      <alignment horizontal="center"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7" numFmtId="49" xfId="0" applyAlignment="1" applyFont="1" applyNumberFormat="1">
      <alignment readingOrder="0" vertical="bottom"/>
    </xf>
    <xf borderId="0" fillId="0" fontId="7" numFmtId="11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7" numFmtId="49" xfId="0" applyAlignment="1" applyFont="1" applyNumberFormat="1">
      <alignment horizontal="center" vertical="bottom"/>
    </xf>
    <xf borderId="0" fillId="0" fontId="7" numFmtId="3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3" fontId="7" numFmtId="0" xfId="0" applyAlignment="1" applyFont="1">
      <alignment vertical="bottom"/>
    </xf>
    <xf borderId="0" fillId="3" fontId="6" numFmtId="2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1" fillId="3" fontId="6" numFmtId="0" xfId="0" applyAlignment="1" applyBorder="1" applyFont="1">
      <alignment readingOrder="0" vertical="bottom"/>
    </xf>
    <xf borderId="2" fillId="0" fontId="10" numFmtId="0" xfId="0" applyBorder="1" applyFont="1"/>
    <xf borderId="3" fillId="0" fontId="7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4" fillId="6" fontId="11" numFmtId="2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readingOrder="0" vertical="bottom"/>
    </xf>
    <xf borderId="5" fillId="3" fontId="11" numFmtId="0" xfId="0" applyAlignment="1" applyBorder="1" applyFont="1">
      <alignment readingOrder="0" vertical="bottom"/>
    </xf>
    <xf borderId="3" fillId="0" fontId="10" numFmtId="0" xfId="0" applyBorder="1" applyFont="1"/>
    <xf borderId="6" fillId="0" fontId="10" numFmtId="0" xfId="0" applyBorder="1" applyFont="1"/>
    <xf borderId="4" fillId="5" fontId="11" numFmtId="2" xfId="0" applyAlignment="1" applyBorder="1" applyFont="1" applyNumberFormat="1">
      <alignment horizontal="center" vertical="bottom"/>
    </xf>
    <xf borderId="4" fillId="6" fontId="11" numFmtId="49" xfId="0" applyAlignment="1" applyBorder="1" applyFont="1" applyNumberFormat="1">
      <alignment horizontal="center" readingOrder="0" vertical="bottom"/>
    </xf>
    <xf borderId="4" fillId="6" fontId="11" numFmtId="3" xfId="0" applyAlignment="1" applyBorder="1" applyFont="1" applyNumberFormat="1">
      <alignment horizontal="center" vertical="bottom"/>
    </xf>
    <xf borderId="0" fillId="0" fontId="12" numFmtId="0" xfId="0" applyAlignment="1" applyFont="1">
      <alignment shrinkToFit="0" wrapText="1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3" fontId="13" numFmtId="0" xfId="0" applyAlignment="1" applyFont="1">
      <alignment vertical="bottom"/>
    </xf>
    <xf borderId="0" fillId="3" fontId="6" numFmtId="0" xfId="0" applyAlignment="1" applyFont="1">
      <alignment vertical="bottom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3" fontId="11" numFmtId="2" xfId="0" applyAlignment="1" applyFont="1" applyNumberFormat="1">
      <alignment horizontal="center" vertical="bottom"/>
    </xf>
    <xf borderId="10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0" fillId="3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14" numFmtId="2" xfId="0" applyAlignment="1" applyFont="1" applyNumberFormat="1">
      <alignment readingOrder="0" vertical="bottom"/>
    </xf>
    <xf borderId="0" fillId="4" fontId="9" numFmtId="0" xfId="0" applyAlignment="1" applyFont="1">
      <alignment vertical="bottom"/>
    </xf>
    <xf borderId="10" fillId="0" fontId="7" numFmtId="0" xfId="0" applyAlignment="1" applyBorder="1" applyFont="1">
      <alignment vertical="bottom"/>
    </xf>
    <xf borderId="0" fillId="0" fontId="5" numFmtId="2" xfId="0" applyFont="1" applyNumberFormat="1"/>
    <xf borderId="5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3" fillId="0" fontId="7" numFmtId="2" xfId="0" applyAlignment="1" applyBorder="1" applyFont="1" applyNumberFormat="1">
      <alignment vertical="bottom"/>
    </xf>
    <xf borderId="3" fillId="0" fontId="7" numFmtId="4" xfId="0" applyAlignment="1" applyBorder="1" applyFont="1" applyNumberFormat="1">
      <alignment vertical="bottom"/>
    </xf>
    <xf borderId="5" fillId="3" fontId="11" numFmtId="0" xfId="0" applyAlignment="1" applyBorder="1" applyFont="1">
      <alignment vertical="bottom"/>
    </xf>
    <xf borderId="4" fillId="6" fontId="7" numFmtId="0" xfId="0" applyAlignment="1" applyBorder="1" applyFont="1">
      <alignment vertical="bottom"/>
    </xf>
    <xf borderId="4" fillId="6" fontId="15" numFmtId="2" xfId="0" applyAlignment="1" applyBorder="1" applyFont="1" applyNumberFormat="1">
      <alignment horizontal="center" vertical="bottom"/>
    </xf>
    <xf borderId="4" fillId="6" fontId="15" numFmtId="4" xfId="0" applyAlignment="1" applyBorder="1" applyFont="1" applyNumberFormat="1">
      <alignment horizontal="center" vertical="bottom"/>
    </xf>
    <xf borderId="4" fillId="6" fontId="15" numFmtId="0" xfId="0" applyAlignment="1" applyBorder="1" applyFont="1">
      <alignment horizontal="center" vertical="bottom"/>
    </xf>
    <xf borderId="4" fillId="6" fontId="7" numFmtId="2" xfId="0" applyAlignment="1" applyBorder="1" applyFont="1" applyNumberFormat="1">
      <alignment vertical="bottom"/>
    </xf>
    <xf borderId="0" fillId="0" fontId="16" numFmtId="0" xfId="0" applyAlignment="1" applyFont="1">
      <alignment vertical="bottom"/>
    </xf>
    <xf borderId="6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statistics_analysis!$H$20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statistics_analysis!$F$21</c:f>
            </c:strRef>
          </c:cat>
          <c:val>
            <c:numRef>
              <c:f>statistics_analysis!$H$21</c:f>
              <c:numCache/>
            </c:numRef>
          </c:val>
          <c:smooth val="0"/>
        </c:ser>
        <c:ser>
          <c:idx val="1"/>
          <c:order val="1"/>
          <c:tx>
            <c:strRef>
              <c:f>statistics_analysis!$J$20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statistics_analysis!$F$21</c:f>
            </c:strRef>
          </c:cat>
          <c:val>
            <c:numRef>
              <c:f>statistics_analysis!$J$21</c:f>
              <c:numCache/>
            </c:numRef>
          </c:val>
          <c:smooth val="0"/>
        </c:ser>
        <c:ser>
          <c:idx val="2"/>
          <c:order val="2"/>
          <c:tx>
            <c:strRef>
              <c:f>statistics_analysis!$G$20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statistics_analysis!$F$21</c:f>
            </c:strRef>
          </c:cat>
          <c:val>
            <c:numRef>
              <c:f>statistics_analysis!$G$21</c:f>
              <c:numCache/>
            </c:numRef>
          </c:val>
          <c:smooth val="0"/>
        </c:ser>
        <c:ser>
          <c:idx val="3"/>
          <c:order val="3"/>
          <c:tx>
            <c:strRef>
              <c:f>statistics_analysis!$I$20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statistics_analysis!$F$21</c:f>
            </c:strRef>
          </c:cat>
          <c:val>
            <c:numRef>
              <c:f>statistics_analysis!$I$21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341890425"/>
        <c:axId val="840254988"/>
      </c:stockChart>
      <c:dateAx>
        <c:axId val="1341890425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254988"/>
      </c:dateAx>
      <c:valAx>
        <c:axId val="840254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890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6</xdr:row>
      <xdr:rowOff>76200</xdr:rowOff>
    </xdr:from>
    <xdr:ext cx="4467225" cy="2181225"/>
    <xdr:pic>
      <xdr:nvPicPr>
        <xdr:cNvPr id="2101402993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24</xdr:row>
      <xdr:rowOff>152400</xdr:rowOff>
    </xdr:from>
    <xdr:ext cx="3286125" cy="2038350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 ht="21.0" customHeight="1">
      <c r="A1" s="1" t="s">
        <v>0</v>
      </c>
      <c r="B1" s="3" t="s">
        <v>2</v>
      </c>
      <c r="C1" s="5" t="s">
        <v>3</v>
      </c>
      <c r="D1" s="5" t="s">
        <v>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3" t="s">
        <v>9</v>
      </c>
      <c r="B2" s="14">
        <v>8.0</v>
      </c>
      <c r="C2" s="14">
        <v>1.0</v>
      </c>
      <c r="D2" s="14">
        <v>142.0</v>
      </c>
      <c r="E2" s="17"/>
    </row>
    <row r="3">
      <c r="A3" s="13" t="s">
        <v>12</v>
      </c>
      <c r="B3" s="14">
        <v>4.0</v>
      </c>
      <c r="C3" s="14">
        <v>68.06</v>
      </c>
      <c r="D3" s="14">
        <v>113.6</v>
      </c>
    </row>
    <row r="4">
      <c r="A4" s="13" t="s">
        <v>13</v>
      </c>
      <c r="B4" s="14">
        <v>2.0</v>
      </c>
      <c r="C4" s="14">
        <v>3.95</v>
      </c>
      <c r="D4" s="14">
        <v>139.6</v>
      </c>
    </row>
    <row r="5">
      <c r="A5" s="13" t="s">
        <v>14</v>
      </c>
      <c r="B5" s="14">
        <v>3.0</v>
      </c>
      <c r="C5" s="14">
        <v>13.79</v>
      </c>
      <c r="D5" s="14">
        <v>105.8</v>
      </c>
      <c r="F5" s="21"/>
      <c r="G5" s="21"/>
      <c r="H5" s="21"/>
      <c r="I5" s="21"/>
      <c r="J5" s="21"/>
      <c r="K5" s="21"/>
    </row>
    <row r="6">
      <c r="A6" s="13" t="s">
        <v>15</v>
      </c>
      <c r="B6" s="14">
        <v>4.0</v>
      </c>
      <c r="C6" s="14">
        <v>16.43</v>
      </c>
      <c r="D6" s="14">
        <v>190.5</v>
      </c>
      <c r="F6" s="21"/>
      <c r="G6" s="21"/>
      <c r="H6" s="21"/>
      <c r="I6" s="21"/>
      <c r="J6" s="21"/>
      <c r="K6" s="21"/>
    </row>
    <row r="7">
      <c r="A7" s="13" t="s">
        <v>16</v>
      </c>
      <c r="B7" s="14">
        <v>7.0</v>
      </c>
      <c r="C7" s="14">
        <v>19.52</v>
      </c>
      <c r="D7" s="14">
        <v>40.1</v>
      </c>
      <c r="F7" s="21"/>
      <c r="G7" s="21"/>
      <c r="H7" s="21"/>
      <c r="I7" s="21"/>
      <c r="J7" s="21"/>
      <c r="K7" s="21"/>
    </row>
    <row r="8">
      <c r="A8" s="13" t="s">
        <v>17</v>
      </c>
      <c r="B8" s="14">
        <v>4.0</v>
      </c>
      <c r="C8" s="14">
        <v>60.44</v>
      </c>
      <c r="D8" s="14">
        <v>140.2</v>
      </c>
      <c r="F8" s="21"/>
      <c r="G8" s="21"/>
      <c r="H8" s="21"/>
      <c r="I8" s="21"/>
      <c r="J8" s="21"/>
      <c r="K8" s="21"/>
    </row>
    <row r="9">
      <c r="A9" s="13" t="s">
        <v>18</v>
      </c>
      <c r="B9" s="14">
        <v>3.0</v>
      </c>
      <c r="C9" s="14">
        <v>2.76</v>
      </c>
      <c r="D9" s="14">
        <v>67.1</v>
      </c>
      <c r="F9" s="21"/>
      <c r="G9" s="21"/>
      <c r="H9" s="21"/>
      <c r="I9" s="21"/>
      <c r="J9" s="21"/>
      <c r="K9" s="21"/>
    </row>
    <row r="10">
      <c r="A10" s="13" t="s">
        <v>19</v>
      </c>
      <c r="B10" s="14">
        <v>2.0</v>
      </c>
      <c r="C10" s="14">
        <v>0.41</v>
      </c>
      <c r="D10" s="14">
        <v>113.2</v>
      </c>
    </row>
    <row r="11">
      <c r="A11" s="13" t="s">
        <v>20</v>
      </c>
      <c r="B11" s="14">
        <v>6.0</v>
      </c>
      <c r="C11" s="14">
        <v>5.3</v>
      </c>
      <c r="D11" s="14">
        <v>117.4</v>
      </c>
      <c r="H11" s="20"/>
    </row>
    <row r="12">
      <c r="A12" s="13" t="s">
        <v>21</v>
      </c>
      <c r="B12" s="14">
        <v>3.0</v>
      </c>
      <c r="C12" s="14">
        <v>1.39</v>
      </c>
      <c r="D12" s="14">
        <v>165.2</v>
      </c>
    </row>
    <row r="13">
      <c r="A13" s="13" t="s">
        <v>22</v>
      </c>
      <c r="B13" s="14">
        <v>5.0</v>
      </c>
      <c r="C13" s="14">
        <v>0.23</v>
      </c>
      <c r="D13" s="14">
        <v>99.2</v>
      </c>
      <c r="F13" s="17"/>
    </row>
    <row r="14">
      <c r="A14" s="13" t="s">
        <v>23</v>
      </c>
      <c r="B14" s="14">
        <v>9.0</v>
      </c>
      <c r="C14" s="14">
        <v>4.47</v>
      </c>
      <c r="D14" s="14">
        <v>159.2</v>
      </c>
      <c r="F14" s="17"/>
    </row>
    <row r="15">
      <c r="A15" s="13" t="s">
        <v>24</v>
      </c>
      <c r="B15" s="14">
        <v>6.0</v>
      </c>
      <c r="C15" s="14">
        <v>15.31</v>
      </c>
      <c r="D15" s="14">
        <v>84.6</v>
      </c>
    </row>
    <row r="16">
      <c r="A16" s="13" t="s">
        <v>25</v>
      </c>
      <c r="B16" s="14">
        <v>6.0</v>
      </c>
      <c r="C16" s="14">
        <v>8.35</v>
      </c>
      <c r="D16" s="14">
        <v>160.4</v>
      </c>
    </row>
    <row r="17">
      <c r="A17" s="13" t="s">
        <v>26</v>
      </c>
      <c r="B17" s="14">
        <v>9.0</v>
      </c>
      <c r="C17" s="14">
        <v>3.75</v>
      </c>
      <c r="D17" s="14">
        <v>105.8</v>
      </c>
    </row>
    <row r="18">
      <c r="A18" s="13" t="s">
        <v>27</v>
      </c>
      <c r="B18" s="14">
        <v>4.0</v>
      </c>
      <c r="C18" s="14">
        <v>10.62</v>
      </c>
      <c r="D18" s="14">
        <v>122.2</v>
      </c>
    </row>
    <row r="19">
      <c r="A19" s="13" t="s">
        <v>28</v>
      </c>
      <c r="B19" s="14">
        <v>9.0</v>
      </c>
      <c r="C19" s="14">
        <v>2.64</v>
      </c>
      <c r="D19" s="14">
        <v>109.9</v>
      </c>
    </row>
    <row r="20">
      <c r="A20" s="13" t="s">
        <v>29</v>
      </c>
      <c r="B20" s="14">
        <v>2.0</v>
      </c>
      <c r="C20" s="14">
        <v>0.14</v>
      </c>
      <c r="D20" s="14">
        <v>158.5</v>
      </c>
    </row>
    <row r="21">
      <c r="A21" s="13" t="s">
        <v>30</v>
      </c>
      <c r="B21" s="14">
        <v>10.0</v>
      </c>
      <c r="C21" s="14">
        <v>14.45</v>
      </c>
      <c r="D21" s="14">
        <v>152.6</v>
      </c>
    </row>
    <row r="22">
      <c r="A22" s="13" t="s">
        <v>31</v>
      </c>
      <c r="B22" s="14">
        <v>6.0</v>
      </c>
      <c r="C22" s="14">
        <v>9.77</v>
      </c>
      <c r="D22" s="14">
        <v>133.3</v>
      </c>
    </row>
    <row r="23">
      <c r="A23" s="13" t="s">
        <v>32</v>
      </c>
      <c r="B23" s="14">
        <v>9.0</v>
      </c>
      <c r="C23" s="14">
        <v>14.37</v>
      </c>
      <c r="D23" s="14">
        <v>85.4</v>
      </c>
    </row>
    <row r="24">
      <c r="A24" s="13" t="s">
        <v>33</v>
      </c>
      <c r="B24" s="14">
        <v>4.0</v>
      </c>
      <c r="C24" s="14">
        <v>0.4</v>
      </c>
      <c r="D24" s="14">
        <v>98.5</v>
      </c>
    </row>
    <row r="25">
      <c r="A25" s="13" t="s">
        <v>34</v>
      </c>
      <c r="B25" s="14">
        <v>1.0</v>
      </c>
      <c r="C25" s="14">
        <v>18.15</v>
      </c>
      <c r="D25" s="14">
        <v>89.1</v>
      </c>
    </row>
    <row r="26">
      <c r="A26" s="13" t="s">
        <v>35</v>
      </c>
      <c r="B26" s="14">
        <v>6.0</v>
      </c>
      <c r="C26" s="14">
        <v>9.66</v>
      </c>
      <c r="D26" s="14">
        <v>52.6</v>
      </c>
    </row>
    <row r="27">
      <c r="A27" s="13" t="s">
        <v>36</v>
      </c>
      <c r="B27" s="14">
        <v>8.0</v>
      </c>
      <c r="C27" s="14">
        <v>8.29</v>
      </c>
      <c r="D27" s="14">
        <v>157.8</v>
      </c>
    </row>
    <row r="28">
      <c r="A28" s="13" t="s">
        <v>37</v>
      </c>
      <c r="B28" s="14">
        <v>6.0</v>
      </c>
      <c r="C28" s="14">
        <v>9.8</v>
      </c>
      <c r="D28" s="14">
        <v>110.2</v>
      </c>
    </row>
    <row r="29">
      <c r="A29" s="13" t="s">
        <v>38</v>
      </c>
      <c r="B29" s="14">
        <v>2.0</v>
      </c>
      <c r="C29" s="14">
        <v>19.98</v>
      </c>
      <c r="D29" s="14">
        <v>109.8</v>
      </c>
    </row>
    <row r="30">
      <c r="A30" s="13" t="s">
        <v>39</v>
      </c>
      <c r="B30" s="14">
        <v>3.0</v>
      </c>
      <c r="C30" s="14">
        <v>8.84</v>
      </c>
      <c r="D30" s="14">
        <v>164.9</v>
      </c>
    </row>
    <row r="31">
      <c r="A31" s="13" t="s">
        <v>40</v>
      </c>
      <c r="B31" s="14">
        <v>5.0</v>
      </c>
      <c r="C31" s="14">
        <v>8.7</v>
      </c>
      <c r="D31" s="14">
        <v>105.7</v>
      </c>
    </row>
    <row r="32">
      <c r="A32" s="13" t="s">
        <v>41</v>
      </c>
      <c r="B32" s="14">
        <v>3.0</v>
      </c>
      <c r="C32" s="14">
        <v>46.76</v>
      </c>
      <c r="D32" s="14">
        <v>94.8</v>
      </c>
    </row>
    <row r="33">
      <c r="A33" s="13" t="s">
        <v>42</v>
      </c>
      <c r="B33" s="14">
        <v>3.0</v>
      </c>
      <c r="C33" s="14">
        <v>14.14</v>
      </c>
      <c r="D33" s="14">
        <v>113.3</v>
      </c>
    </row>
    <row r="34">
      <c r="A34" s="13" t="s">
        <v>43</v>
      </c>
      <c r="B34" s="14">
        <v>5.0</v>
      </c>
      <c r="C34" s="14">
        <v>5.84</v>
      </c>
      <c r="D34" s="14">
        <v>86.0</v>
      </c>
    </row>
    <row r="35">
      <c r="A35" s="13" t="s">
        <v>44</v>
      </c>
      <c r="B35" s="14">
        <v>6.0</v>
      </c>
      <c r="C35" s="14">
        <v>12.29</v>
      </c>
      <c r="D35" s="14">
        <v>130.3</v>
      </c>
    </row>
    <row r="36">
      <c r="A36" s="13" t="s">
        <v>45</v>
      </c>
      <c r="B36" s="14">
        <v>5.0</v>
      </c>
      <c r="C36" s="14">
        <v>4.93</v>
      </c>
      <c r="D36" s="14">
        <v>108.8</v>
      </c>
    </row>
    <row r="37">
      <c r="A37" s="13" t="s">
        <v>46</v>
      </c>
      <c r="B37" s="14">
        <v>3.0</v>
      </c>
      <c r="C37" s="14">
        <v>2.6</v>
      </c>
      <c r="D37" s="14">
        <v>104.8</v>
      </c>
    </row>
    <row r="38">
      <c r="A38" s="13" t="s">
        <v>47</v>
      </c>
      <c r="B38" s="14">
        <v>5.0</v>
      </c>
      <c r="C38" s="14">
        <v>9.08</v>
      </c>
      <c r="D38" s="14">
        <v>102.2</v>
      </c>
    </row>
    <row r="39">
      <c r="A39" s="13" t="s">
        <v>48</v>
      </c>
      <c r="B39" s="14">
        <v>3.0</v>
      </c>
      <c r="C39" s="14">
        <v>26.34</v>
      </c>
      <c r="D39" s="14">
        <v>116.8</v>
      </c>
    </row>
    <row r="40">
      <c r="A40" s="13" t="s">
        <v>49</v>
      </c>
      <c r="B40" s="14">
        <v>3.0</v>
      </c>
      <c r="C40" s="14">
        <v>26.47</v>
      </c>
      <c r="D40" s="14">
        <v>122.5</v>
      </c>
    </row>
    <row r="41">
      <c r="A41" s="13" t="s">
        <v>50</v>
      </c>
      <c r="B41" s="14">
        <v>6.0</v>
      </c>
      <c r="C41" s="14">
        <v>4.18</v>
      </c>
      <c r="D41" s="14">
        <v>104.4</v>
      </c>
    </row>
    <row r="42">
      <c r="A42" s="13" t="s">
        <v>51</v>
      </c>
      <c r="B42" s="14">
        <v>5.0</v>
      </c>
      <c r="C42" s="14">
        <v>7.5</v>
      </c>
      <c r="D42" s="14">
        <v>109.2</v>
      </c>
    </row>
    <row r="43">
      <c r="A43" s="13" t="s">
        <v>52</v>
      </c>
      <c r="B43" s="14">
        <v>6.0</v>
      </c>
      <c r="C43" s="14">
        <v>2.38</v>
      </c>
      <c r="D43" s="14">
        <v>117.6</v>
      </c>
    </row>
    <row r="44">
      <c r="A44" s="13">
        <v>1.362871E7</v>
      </c>
      <c r="B44" s="14">
        <v>2.0</v>
      </c>
      <c r="C44" s="14">
        <v>54.33</v>
      </c>
      <c r="D44" s="14">
        <v>114.5</v>
      </c>
    </row>
    <row r="45">
      <c r="A45" s="13" t="s">
        <v>53</v>
      </c>
      <c r="B45" s="14">
        <v>4.0</v>
      </c>
      <c r="C45" s="14">
        <v>39.7</v>
      </c>
      <c r="D45" s="14">
        <v>120.9</v>
      </c>
    </row>
    <row r="46">
      <c r="A46" s="13" t="s">
        <v>54</v>
      </c>
      <c r="B46" s="14">
        <v>7.0</v>
      </c>
      <c r="C46" s="14">
        <v>10.48</v>
      </c>
      <c r="D46" s="14">
        <v>99.7</v>
      </c>
    </row>
    <row r="47">
      <c r="A47" s="13" t="s">
        <v>55</v>
      </c>
      <c r="B47" s="14">
        <v>6.0</v>
      </c>
      <c r="C47" s="14">
        <v>16.32</v>
      </c>
      <c r="D47" s="14">
        <v>150.1</v>
      </c>
    </row>
    <row r="48">
      <c r="A48" s="13" t="s">
        <v>56</v>
      </c>
      <c r="B48" s="14">
        <v>5.0</v>
      </c>
      <c r="C48" s="14">
        <v>12.56</v>
      </c>
      <c r="D48" s="14">
        <v>122.9</v>
      </c>
    </row>
    <row r="49">
      <c r="A49" s="13" t="s">
        <v>57</v>
      </c>
      <c r="B49" s="14">
        <v>4.0</v>
      </c>
      <c r="C49" s="14">
        <v>8.99</v>
      </c>
      <c r="D49" s="14">
        <v>104.9</v>
      </c>
    </row>
    <row r="50">
      <c r="A50" s="13" t="s">
        <v>58</v>
      </c>
      <c r="B50" s="14">
        <v>3.0</v>
      </c>
      <c r="C50" s="14">
        <v>0.55</v>
      </c>
      <c r="D50" s="14">
        <v>130.3</v>
      </c>
    </row>
    <row r="51">
      <c r="A51" s="13" t="s">
        <v>59</v>
      </c>
      <c r="B51" s="14">
        <v>3.0</v>
      </c>
      <c r="C51" s="14">
        <v>6.07</v>
      </c>
      <c r="D51" s="14">
        <v>117.8</v>
      </c>
    </row>
    <row r="52">
      <c r="A52" s="13" t="s">
        <v>60</v>
      </c>
      <c r="B52" s="14">
        <v>7.0</v>
      </c>
      <c r="C52" s="14">
        <v>11.23</v>
      </c>
      <c r="D52" s="14">
        <v>68.0</v>
      </c>
    </row>
    <row r="53">
      <c r="A53" s="13" t="s">
        <v>61</v>
      </c>
      <c r="B53" s="14">
        <v>7.0</v>
      </c>
      <c r="C53" s="14">
        <v>11.32</v>
      </c>
      <c r="D53" s="14">
        <v>130.2</v>
      </c>
    </row>
    <row r="54">
      <c r="A54" s="13" t="s">
        <v>62</v>
      </c>
      <c r="B54" s="14">
        <v>6.0</v>
      </c>
      <c r="C54" s="14">
        <v>4.67</v>
      </c>
      <c r="D54" s="14">
        <v>89.4</v>
      </c>
    </row>
    <row r="55">
      <c r="A55" s="13" t="s">
        <v>63</v>
      </c>
      <c r="B55" s="14">
        <v>6.0</v>
      </c>
      <c r="C55" s="14">
        <v>28.42</v>
      </c>
      <c r="D55" s="14">
        <v>148.0</v>
      </c>
    </row>
    <row r="56">
      <c r="A56" s="13" t="s">
        <v>64</v>
      </c>
      <c r="B56" s="14">
        <v>7.0</v>
      </c>
      <c r="C56" s="14">
        <v>1.83</v>
      </c>
      <c r="D56" s="14">
        <v>112.7</v>
      </c>
    </row>
    <row r="57">
      <c r="A57" s="13" t="s">
        <v>65</v>
      </c>
      <c r="B57" s="14">
        <v>8.0</v>
      </c>
      <c r="C57" s="14">
        <v>6.94</v>
      </c>
      <c r="D57" s="14">
        <v>143.4</v>
      </c>
    </row>
    <row r="58">
      <c r="A58" s="13" t="s">
        <v>66</v>
      </c>
      <c r="B58" s="14">
        <v>6.0</v>
      </c>
      <c r="C58" s="14">
        <v>11.74</v>
      </c>
      <c r="D58" s="14">
        <v>101.1</v>
      </c>
    </row>
    <row r="59">
      <c r="A59" s="13" t="s">
        <v>67</v>
      </c>
      <c r="B59" s="14">
        <v>3.0</v>
      </c>
      <c r="C59" s="14">
        <v>11.94</v>
      </c>
      <c r="D59" s="14">
        <v>122.1</v>
      </c>
    </row>
    <row r="60">
      <c r="A60" s="13" t="s">
        <v>68</v>
      </c>
      <c r="B60" s="14">
        <v>7.0</v>
      </c>
      <c r="C60" s="14">
        <v>10.46</v>
      </c>
      <c r="D60" s="14">
        <v>156.3</v>
      </c>
    </row>
    <row r="61">
      <c r="A61" s="13" t="s">
        <v>69</v>
      </c>
      <c r="B61" s="14">
        <v>5.0</v>
      </c>
      <c r="C61" s="14">
        <v>3.22</v>
      </c>
      <c r="D61" s="14">
        <v>111.9</v>
      </c>
    </row>
    <row r="62">
      <c r="A62" s="13" t="s">
        <v>70</v>
      </c>
      <c r="B62" s="14">
        <v>5.0</v>
      </c>
      <c r="C62" s="14">
        <v>1.7</v>
      </c>
      <c r="D62" s="14">
        <v>102.3</v>
      </c>
    </row>
    <row r="63">
      <c r="A63" s="13" t="s">
        <v>71</v>
      </c>
      <c r="B63" s="14">
        <v>7.0</v>
      </c>
      <c r="C63" s="14">
        <v>10.1</v>
      </c>
      <c r="D63" s="14">
        <v>139.7</v>
      </c>
    </row>
    <row r="64">
      <c r="A64" s="13" t="s">
        <v>72</v>
      </c>
      <c r="B64" s="14">
        <v>4.0</v>
      </c>
      <c r="C64" s="14">
        <v>9.15</v>
      </c>
      <c r="D64" s="14">
        <v>139.1</v>
      </c>
    </row>
    <row r="65">
      <c r="A65" s="13" t="s">
        <v>73</v>
      </c>
      <c r="B65" s="14">
        <v>9.0</v>
      </c>
      <c r="C65" s="14">
        <v>1.98</v>
      </c>
      <c r="D65" s="14">
        <v>103.5</v>
      </c>
    </row>
    <row r="66">
      <c r="A66" s="13" t="s">
        <v>74</v>
      </c>
      <c r="B66" s="14">
        <v>4.0</v>
      </c>
      <c r="C66" s="14">
        <v>12.21</v>
      </c>
      <c r="D66" s="14">
        <v>60.4</v>
      </c>
    </row>
    <row r="67">
      <c r="A67" s="13" t="s">
        <v>75</v>
      </c>
      <c r="B67" s="14">
        <v>5.0</v>
      </c>
      <c r="C67" s="14">
        <v>6.07</v>
      </c>
      <c r="D67" s="14">
        <v>101.7</v>
      </c>
    </row>
    <row r="68">
      <c r="A68" s="13" t="s">
        <v>76</v>
      </c>
      <c r="B68" s="14">
        <v>2.0</v>
      </c>
      <c r="C68" s="14">
        <v>11.02</v>
      </c>
      <c r="D68" s="14">
        <v>140.3</v>
      </c>
    </row>
    <row r="69">
      <c r="A69" s="13" t="s">
        <v>77</v>
      </c>
      <c r="B69" s="14">
        <v>6.0</v>
      </c>
      <c r="C69" s="14">
        <v>18.16</v>
      </c>
      <c r="D69" s="14">
        <v>96.7</v>
      </c>
    </row>
    <row r="70">
      <c r="A70" s="13" t="s">
        <v>78</v>
      </c>
      <c r="B70" s="14">
        <v>3.0</v>
      </c>
      <c r="C70" s="14">
        <v>1.86</v>
      </c>
      <c r="D70" s="14">
        <v>119.7</v>
      </c>
    </row>
    <row r="71">
      <c r="A71" s="13" t="s">
        <v>79</v>
      </c>
      <c r="B71" s="14">
        <v>6.0</v>
      </c>
      <c r="C71" s="14">
        <v>0.19</v>
      </c>
      <c r="D71" s="14">
        <v>100.3</v>
      </c>
    </row>
    <row r="72">
      <c r="A72" s="13" t="s">
        <v>80</v>
      </c>
      <c r="B72" s="14">
        <v>2.0</v>
      </c>
      <c r="C72" s="14">
        <v>15.1</v>
      </c>
      <c r="D72" s="14">
        <v>62.0</v>
      </c>
    </row>
    <row r="73">
      <c r="A73" s="13" t="s">
        <v>81</v>
      </c>
      <c r="B73" s="14">
        <v>3.0</v>
      </c>
      <c r="C73" s="14">
        <v>9.41</v>
      </c>
      <c r="D73" s="14">
        <v>99.7</v>
      </c>
    </row>
    <row r="74">
      <c r="A74" s="13" t="s">
        <v>82</v>
      </c>
      <c r="B74" s="14">
        <v>5.0</v>
      </c>
      <c r="C74" s="14">
        <v>12.03</v>
      </c>
      <c r="D74" s="14">
        <v>140.2</v>
      </c>
    </row>
    <row r="75">
      <c r="A75" s="13" t="s">
        <v>83</v>
      </c>
      <c r="B75" s="14">
        <v>3.0</v>
      </c>
      <c r="C75" s="14">
        <v>18.21</v>
      </c>
      <c r="D75" s="14">
        <v>48.9</v>
      </c>
    </row>
    <row r="76">
      <c r="A76" s="13" t="s">
        <v>84</v>
      </c>
      <c r="B76" s="14">
        <v>4.0</v>
      </c>
      <c r="C76" s="14">
        <v>16.24</v>
      </c>
      <c r="D76" s="14">
        <v>127.6</v>
      </c>
    </row>
    <row r="77">
      <c r="A77" s="13" t="s">
        <v>85</v>
      </c>
      <c r="B77" s="14">
        <v>5.0</v>
      </c>
      <c r="C77" s="14">
        <v>32.42</v>
      </c>
      <c r="D77" s="14">
        <v>84.4</v>
      </c>
    </row>
    <row r="78">
      <c r="A78" s="13" t="s">
        <v>86</v>
      </c>
      <c r="B78" s="14">
        <v>6.0</v>
      </c>
      <c r="C78" s="14">
        <v>7.68</v>
      </c>
      <c r="D78" s="14">
        <v>138.3</v>
      </c>
    </row>
    <row r="79">
      <c r="A79" s="13" t="s">
        <v>87</v>
      </c>
      <c r="B79" s="14">
        <v>3.0</v>
      </c>
      <c r="C79" s="14">
        <v>6.7</v>
      </c>
      <c r="D79" s="14">
        <v>141.4</v>
      </c>
    </row>
    <row r="80">
      <c r="A80" s="13" t="s">
        <v>88</v>
      </c>
      <c r="B80" s="14">
        <v>3.0</v>
      </c>
      <c r="C80" s="14">
        <v>5.14</v>
      </c>
      <c r="D80" s="14">
        <v>114.8</v>
      </c>
    </row>
    <row r="81">
      <c r="A81" s="13" t="s">
        <v>89</v>
      </c>
      <c r="B81" s="14">
        <v>4.0</v>
      </c>
      <c r="C81" s="14">
        <v>1.67</v>
      </c>
      <c r="D81" s="14">
        <v>114.9</v>
      </c>
    </row>
    <row r="82">
      <c r="A82" s="13" t="s">
        <v>90</v>
      </c>
      <c r="B82" s="14">
        <v>5.0</v>
      </c>
      <c r="C82" s="14">
        <v>8.5</v>
      </c>
      <c r="D82" s="14">
        <v>95.8</v>
      </c>
    </row>
    <row r="83">
      <c r="A83" s="13" t="s">
        <v>91</v>
      </c>
      <c r="B83" s="14">
        <v>4.0</v>
      </c>
      <c r="C83" s="14">
        <v>3.24</v>
      </c>
      <c r="D83" s="14">
        <v>79.6</v>
      </c>
    </row>
    <row r="84">
      <c r="A84" s="13" t="s">
        <v>92</v>
      </c>
      <c r="B84" s="14">
        <v>2.0</v>
      </c>
      <c r="C84" s="14">
        <v>25.42</v>
      </c>
      <c r="D84" s="14">
        <v>170.9</v>
      </c>
    </row>
    <row r="85">
      <c r="A85" s="13" t="s">
        <v>93</v>
      </c>
      <c r="B85" s="14">
        <v>6.0</v>
      </c>
      <c r="C85" s="14">
        <v>8.75</v>
      </c>
      <c r="D85" s="14">
        <v>94.0</v>
      </c>
    </row>
    <row r="86">
      <c r="A86" s="13" t="s">
        <v>94</v>
      </c>
      <c r="B86" s="14">
        <v>6.0</v>
      </c>
      <c r="C86" s="14">
        <v>8.99</v>
      </c>
      <c r="D86" s="14">
        <v>167.0</v>
      </c>
    </row>
    <row r="87">
      <c r="A87" s="13" t="s">
        <v>95</v>
      </c>
      <c r="B87" s="14">
        <v>8.0</v>
      </c>
      <c r="C87" s="14">
        <v>4.38</v>
      </c>
      <c r="D87" s="14">
        <v>94.2</v>
      </c>
    </row>
    <row r="88">
      <c r="A88" s="13" t="s">
        <v>96</v>
      </c>
      <c r="B88" s="14">
        <v>1.0</v>
      </c>
      <c r="C88" s="14">
        <v>0.53</v>
      </c>
      <c r="D88" s="14">
        <v>135.8</v>
      </c>
    </row>
    <row r="89">
      <c r="A89" s="13" t="s">
        <v>97</v>
      </c>
      <c r="B89" s="14">
        <v>6.0</v>
      </c>
      <c r="C89" s="14">
        <v>0.32</v>
      </c>
      <c r="D89" s="14">
        <v>85.9</v>
      </c>
    </row>
    <row r="90">
      <c r="A90" s="13" t="s">
        <v>98</v>
      </c>
      <c r="B90" s="14">
        <v>2.0</v>
      </c>
      <c r="C90" s="14">
        <v>5.5</v>
      </c>
      <c r="D90" s="14">
        <v>135.7</v>
      </c>
    </row>
    <row r="91">
      <c r="A91" s="13" t="s">
        <v>99</v>
      </c>
      <c r="B91" s="14">
        <v>5.0</v>
      </c>
      <c r="C91" s="14">
        <v>0.88</v>
      </c>
      <c r="D91" s="14">
        <v>110.2</v>
      </c>
    </row>
    <row r="92">
      <c r="A92" s="13">
        <v>6.5451583E7</v>
      </c>
      <c r="B92" s="14">
        <v>2.0</v>
      </c>
      <c r="C92" s="14">
        <v>9.34</v>
      </c>
      <c r="D92" s="14">
        <v>110.6</v>
      </c>
    </row>
    <row r="93">
      <c r="A93" s="13" t="s">
        <v>100</v>
      </c>
      <c r="B93" s="14">
        <v>6.0</v>
      </c>
      <c r="C93" s="14">
        <v>21.28</v>
      </c>
      <c r="D93" s="14">
        <v>138.3</v>
      </c>
    </row>
    <row r="94">
      <c r="A94" s="13" t="s">
        <v>101</v>
      </c>
      <c r="B94" s="14">
        <v>4.0</v>
      </c>
      <c r="C94" s="14">
        <v>21.45</v>
      </c>
      <c r="D94" s="14">
        <v>105.9</v>
      </c>
    </row>
    <row r="95">
      <c r="A95" s="13" t="s">
        <v>102</v>
      </c>
      <c r="B95" s="14">
        <v>3.0</v>
      </c>
      <c r="C95" s="14">
        <v>10.76</v>
      </c>
      <c r="D95" s="14">
        <v>77.2</v>
      </c>
    </row>
    <row r="96">
      <c r="A96" s="13" t="s">
        <v>103</v>
      </c>
      <c r="B96" s="14">
        <v>5.0</v>
      </c>
      <c r="C96" s="14">
        <v>2.37</v>
      </c>
      <c r="D96" s="14">
        <v>142.8</v>
      </c>
    </row>
    <row r="97">
      <c r="A97" s="13" t="s">
        <v>104</v>
      </c>
      <c r="B97" s="14">
        <v>6.0</v>
      </c>
      <c r="C97" s="14">
        <v>19.88</v>
      </c>
      <c r="D97" s="14">
        <v>85.6</v>
      </c>
    </row>
    <row r="98">
      <c r="A98" s="13" t="s">
        <v>105</v>
      </c>
      <c r="B98" s="14">
        <v>3.0</v>
      </c>
      <c r="C98" s="14">
        <v>21.72</v>
      </c>
      <c r="D98" s="14">
        <v>135.5</v>
      </c>
    </row>
    <row r="99">
      <c r="A99" s="13" t="s">
        <v>106</v>
      </c>
      <c r="B99" s="14">
        <v>4.0</v>
      </c>
      <c r="C99" s="14">
        <v>2.19</v>
      </c>
      <c r="D99" s="14">
        <v>149.2</v>
      </c>
    </row>
    <row r="100">
      <c r="A100" s="13" t="s">
        <v>107</v>
      </c>
      <c r="B100" s="14">
        <v>8.0</v>
      </c>
      <c r="C100" s="14">
        <v>13.37</v>
      </c>
      <c r="D100" s="14">
        <v>108.7</v>
      </c>
    </row>
    <row r="101">
      <c r="A101" s="13" t="s">
        <v>108</v>
      </c>
      <c r="B101" s="14">
        <v>4.0</v>
      </c>
      <c r="C101" s="14">
        <v>3.38</v>
      </c>
      <c r="D101" s="14">
        <v>155.5</v>
      </c>
    </row>
    <row r="102">
      <c r="A102" s="13" t="s">
        <v>109</v>
      </c>
      <c r="B102" s="14">
        <v>10.0</v>
      </c>
      <c r="C102" s="14">
        <v>16.23</v>
      </c>
      <c r="D102" s="14">
        <v>134.5</v>
      </c>
    </row>
    <row r="103">
      <c r="A103" s="13" t="s">
        <v>110</v>
      </c>
      <c r="B103" s="14">
        <v>4.0</v>
      </c>
      <c r="C103" s="14">
        <v>58.92</v>
      </c>
      <c r="D103" s="14">
        <v>99.1</v>
      </c>
    </row>
    <row r="104">
      <c r="A104" s="13" t="s">
        <v>111</v>
      </c>
      <c r="B104" s="14">
        <v>5.0</v>
      </c>
      <c r="C104" s="14">
        <v>0.3</v>
      </c>
      <c r="D104" s="14">
        <v>162.0</v>
      </c>
    </row>
    <row r="105">
      <c r="A105" s="13" t="s">
        <v>112</v>
      </c>
      <c r="B105" s="14">
        <v>10.0</v>
      </c>
      <c r="C105" s="14">
        <v>22.77</v>
      </c>
      <c r="D105" s="14">
        <v>85.7</v>
      </c>
    </row>
    <row r="106">
      <c r="A106" s="13" t="s">
        <v>113</v>
      </c>
      <c r="B106" s="14">
        <v>3.0</v>
      </c>
      <c r="C106" s="14">
        <v>9.75</v>
      </c>
      <c r="D106" s="14">
        <v>108.7</v>
      </c>
    </row>
    <row r="107">
      <c r="A107" s="13" t="s">
        <v>114</v>
      </c>
      <c r="B107" s="14">
        <v>4.0</v>
      </c>
      <c r="C107" s="14">
        <v>36.26</v>
      </c>
      <c r="D107" s="14">
        <v>113.8</v>
      </c>
    </row>
    <row r="108">
      <c r="A108" s="13" t="s">
        <v>115</v>
      </c>
      <c r="B108" s="14">
        <v>7.0</v>
      </c>
      <c r="C108" s="14">
        <v>6.26</v>
      </c>
      <c r="D108" s="14">
        <v>138.2</v>
      </c>
    </row>
    <row r="109">
      <c r="A109" s="13" t="s">
        <v>116</v>
      </c>
      <c r="B109" s="14">
        <v>5.0</v>
      </c>
      <c r="C109" s="14">
        <v>18.8</v>
      </c>
      <c r="D109" s="14">
        <v>153.5</v>
      </c>
    </row>
    <row r="110">
      <c r="A110" s="13" t="s">
        <v>117</v>
      </c>
      <c r="B110" s="14">
        <v>10.0</v>
      </c>
      <c r="C110" s="14">
        <v>0.64</v>
      </c>
      <c r="D110" s="14">
        <v>151.6</v>
      </c>
    </row>
    <row r="111">
      <c r="A111" s="13" t="s">
        <v>118</v>
      </c>
      <c r="B111" s="14">
        <v>4.0</v>
      </c>
      <c r="C111" s="14">
        <v>4.08</v>
      </c>
      <c r="D111" s="14">
        <v>126.7</v>
      </c>
    </row>
    <row r="112">
      <c r="A112" s="13" t="s">
        <v>119</v>
      </c>
      <c r="B112" s="14">
        <v>2.0</v>
      </c>
      <c r="C112" s="14">
        <v>0.69</v>
      </c>
      <c r="D112" s="14">
        <v>111.6</v>
      </c>
    </row>
    <row r="113">
      <c r="A113" s="13" t="s">
        <v>120</v>
      </c>
      <c r="B113" s="14">
        <v>3.0</v>
      </c>
      <c r="C113" s="14">
        <v>37.03</v>
      </c>
      <c r="D113" s="14">
        <v>65.2</v>
      </c>
    </row>
    <row r="114">
      <c r="A114" s="13" t="s">
        <v>121</v>
      </c>
      <c r="B114" s="14">
        <v>5.0</v>
      </c>
      <c r="C114" s="14">
        <v>16.98</v>
      </c>
      <c r="D114" s="14">
        <v>80.6</v>
      </c>
    </row>
    <row r="115">
      <c r="A115" s="13" t="s">
        <v>122</v>
      </c>
      <c r="B115" s="14">
        <v>8.0</v>
      </c>
      <c r="C115" s="14">
        <v>19.14</v>
      </c>
      <c r="D115" s="14">
        <v>173.0</v>
      </c>
    </row>
    <row r="116">
      <c r="A116" s="13" t="s">
        <v>123</v>
      </c>
      <c r="B116" s="14">
        <v>4.0</v>
      </c>
      <c r="C116" s="14">
        <v>27.8</v>
      </c>
      <c r="D116" s="14">
        <v>64.9</v>
      </c>
    </row>
    <row r="117">
      <c r="A117" s="13" t="s">
        <v>124</v>
      </c>
      <c r="B117" s="14">
        <v>3.0</v>
      </c>
      <c r="C117" s="14">
        <v>0.89</v>
      </c>
      <c r="D117" s="14">
        <v>96.5</v>
      </c>
    </row>
    <row r="118">
      <c r="A118" s="13" t="s">
        <v>125</v>
      </c>
      <c r="B118" s="14">
        <v>8.0</v>
      </c>
      <c r="C118" s="14">
        <v>4.87</v>
      </c>
      <c r="D118" s="14">
        <v>154.3</v>
      </c>
    </row>
    <row r="119">
      <c r="A119" s="13" t="s">
        <v>126</v>
      </c>
      <c r="B119" s="14">
        <v>6.0</v>
      </c>
      <c r="C119" s="14">
        <v>0.74</v>
      </c>
      <c r="D119" s="14">
        <v>126.3</v>
      </c>
    </row>
    <row r="120">
      <c r="A120" s="13" t="s">
        <v>127</v>
      </c>
      <c r="B120" s="14">
        <v>8.0</v>
      </c>
      <c r="C120" s="14">
        <v>2.37</v>
      </c>
      <c r="D120" s="14">
        <v>147.8</v>
      </c>
    </row>
    <row r="121">
      <c r="A121" s="13" t="s">
        <v>128</v>
      </c>
      <c r="B121" s="14">
        <v>3.0</v>
      </c>
      <c r="C121" s="14">
        <v>2.61</v>
      </c>
      <c r="D121" s="14">
        <v>136.3</v>
      </c>
    </row>
    <row r="122">
      <c r="A122" s="13" t="s">
        <v>129</v>
      </c>
      <c r="B122" s="14">
        <v>3.0</v>
      </c>
      <c r="C122" s="14">
        <v>6.33</v>
      </c>
      <c r="D122" s="14">
        <v>164.1</v>
      </c>
    </row>
    <row r="123">
      <c r="A123" s="13" t="s">
        <v>130</v>
      </c>
      <c r="B123" s="14">
        <v>5.0</v>
      </c>
      <c r="C123" s="14">
        <v>3.13</v>
      </c>
      <c r="D123" s="14">
        <v>128.9</v>
      </c>
    </row>
    <row r="124">
      <c r="A124" s="13" t="s">
        <v>131</v>
      </c>
      <c r="B124" s="14">
        <v>11.0</v>
      </c>
      <c r="C124" s="14">
        <v>1.06</v>
      </c>
      <c r="D124" s="14">
        <v>139.9</v>
      </c>
    </row>
    <row r="125">
      <c r="A125" s="13" t="s">
        <v>132</v>
      </c>
      <c r="B125" s="14">
        <v>7.0</v>
      </c>
      <c r="C125" s="14">
        <v>1.83</v>
      </c>
      <c r="D125" s="14">
        <v>98.3</v>
      </c>
    </row>
    <row r="126">
      <c r="A126" s="13" t="s">
        <v>133</v>
      </c>
      <c r="B126" s="14">
        <v>4.0</v>
      </c>
      <c r="C126" s="14">
        <v>1.59</v>
      </c>
      <c r="D126" s="14">
        <v>137.6</v>
      </c>
    </row>
    <row r="127">
      <c r="A127" s="13" t="s">
        <v>134</v>
      </c>
      <c r="B127" s="14">
        <v>3.0</v>
      </c>
      <c r="C127" s="14">
        <v>36.15</v>
      </c>
      <c r="D127" s="14">
        <v>108.1</v>
      </c>
    </row>
    <row r="128">
      <c r="A128" s="13" t="s">
        <v>135</v>
      </c>
      <c r="B128" s="14">
        <v>8.0</v>
      </c>
      <c r="C128" s="14">
        <v>14.24</v>
      </c>
      <c r="D128" s="14">
        <v>106.4</v>
      </c>
    </row>
    <row r="129">
      <c r="A129" s="13" t="s">
        <v>136</v>
      </c>
      <c r="B129" s="14">
        <v>8.0</v>
      </c>
      <c r="C129" s="14">
        <v>34.35</v>
      </c>
      <c r="D129" s="14">
        <v>146.8</v>
      </c>
    </row>
    <row r="130">
      <c r="A130" s="13" t="s">
        <v>137</v>
      </c>
      <c r="B130" s="14">
        <v>3.0</v>
      </c>
      <c r="C130" s="14">
        <v>5.79</v>
      </c>
      <c r="D130" s="14">
        <v>147.0</v>
      </c>
    </row>
    <row r="131">
      <c r="A131" s="13" t="s">
        <v>138</v>
      </c>
      <c r="B131" s="14">
        <v>3.0</v>
      </c>
      <c r="C131" s="14">
        <v>3.26</v>
      </c>
      <c r="D131" s="14">
        <v>170.7</v>
      </c>
    </row>
    <row r="132">
      <c r="A132" s="13" t="s">
        <v>139</v>
      </c>
      <c r="B132" s="14">
        <v>6.0</v>
      </c>
      <c r="C132" s="14">
        <v>16.01</v>
      </c>
      <c r="D132" s="14">
        <v>168.7</v>
      </c>
    </row>
    <row r="133">
      <c r="A133" s="13" t="s">
        <v>140</v>
      </c>
      <c r="B133" s="14">
        <v>2.0</v>
      </c>
      <c r="C133" s="14">
        <v>3.95</v>
      </c>
      <c r="D133" s="14">
        <v>147.5</v>
      </c>
    </row>
    <row r="134">
      <c r="A134" s="13" t="s">
        <v>141</v>
      </c>
      <c r="B134" s="14">
        <v>7.0</v>
      </c>
      <c r="C134" s="14">
        <v>3.56</v>
      </c>
      <c r="D134" s="14">
        <v>68.4</v>
      </c>
    </row>
    <row r="135">
      <c r="A135" s="13" t="s">
        <v>142</v>
      </c>
      <c r="B135" s="14">
        <v>5.0</v>
      </c>
      <c r="C135" s="14">
        <v>2.65</v>
      </c>
      <c r="D135" s="14">
        <v>174.8</v>
      </c>
    </row>
    <row r="136">
      <c r="A136" s="13" t="s">
        <v>143</v>
      </c>
      <c r="B136" s="14">
        <v>5.0</v>
      </c>
      <c r="C136" s="14">
        <v>1.39</v>
      </c>
      <c r="D136" s="14">
        <v>147.5</v>
      </c>
    </row>
    <row r="137">
      <c r="A137" s="13" t="s">
        <v>144</v>
      </c>
      <c r="B137" s="14">
        <v>6.0</v>
      </c>
      <c r="C137" s="14">
        <v>2.96</v>
      </c>
      <c r="D137" s="14">
        <v>97.0</v>
      </c>
    </row>
    <row r="138">
      <c r="A138" s="13" t="s">
        <v>145</v>
      </c>
      <c r="B138" s="14">
        <v>1.0</v>
      </c>
      <c r="C138" s="14">
        <v>4.39</v>
      </c>
      <c r="D138" s="14">
        <v>141.9</v>
      </c>
    </row>
    <row r="139">
      <c r="A139" s="13" t="s">
        <v>146</v>
      </c>
      <c r="B139" s="14">
        <v>10.0</v>
      </c>
      <c r="C139" s="14">
        <v>11.21</v>
      </c>
      <c r="D139" s="14">
        <v>88.9</v>
      </c>
    </row>
    <row r="140">
      <c r="A140" s="13" t="s">
        <v>147</v>
      </c>
      <c r="B140" s="14">
        <v>2.0</v>
      </c>
      <c r="C140" s="14">
        <v>0.65</v>
      </c>
      <c r="D140" s="14">
        <v>138.6</v>
      </c>
    </row>
    <row r="141">
      <c r="A141" s="13">
        <v>4.2213759E7</v>
      </c>
      <c r="B141" s="14">
        <v>5.0</v>
      </c>
      <c r="C141" s="14">
        <v>2.36</v>
      </c>
      <c r="D141" s="14">
        <v>80.5</v>
      </c>
    </row>
    <row r="142">
      <c r="A142" s="13" t="s">
        <v>148</v>
      </c>
      <c r="B142" s="14">
        <v>4.0</v>
      </c>
      <c r="C142" s="14">
        <v>16.56</v>
      </c>
      <c r="D142" s="14">
        <v>95.8</v>
      </c>
    </row>
    <row r="143">
      <c r="A143" s="13" t="s">
        <v>149</v>
      </c>
      <c r="B143" s="14">
        <v>5.0</v>
      </c>
      <c r="C143" s="14">
        <v>1.59</v>
      </c>
      <c r="D143" s="14">
        <v>141.3</v>
      </c>
    </row>
    <row r="144">
      <c r="A144" s="13" t="s">
        <v>150</v>
      </c>
      <c r="B144" s="14">
        <v>4.0</v>
      </c>
      <c r="C144" s="14">
        <v>4.2</v>
      </c>
      <c r="D144" s="14">
        <v>152.2</v>
      </c>
    </row>
    <row r="145">
      <c r="A145" s="13" t="s">
        <v>151</v>
      </c>
      <c r="B145" s="14">
        <v>5.0</v>
      </c>
      <c r="C145" s="14">
        <v>20.0</v>
      </c>
      <c r="D145" s="14">
        <v>129.8</v>
      </c>
    </row>
    <row r="146">
      <c r="A146" s="13" t="s">
        <v>152</v>
      </c>
      <c r="B146" s="14">
        <v>6.0</v>
      </c>
      <c r="C146" s="14">
        <v>1.68</v>
      </c>
      <c r="D146" s="14">
        <v>111.4</v>
      </c>
    </row>
    <row r="147">
      <c r="A147" s="13" t="s">
        <v>153</v>
      </c>
      <c r="B147" s="14">
        <v>1.0</v>
      </c>
      <c r="C147" s="14">
        <v>0.86</v>
      </c>
      <c r="D147" s="14">
        <v>56.6</v>
      </c>
    </row>
    <row r="148">
      <c r="A148" s="13" t="s">
        <v>154</v>
      </c>
      <c r="B148" s="14">
        <v>3.0</v>
      </c>
      <c r="C148" s="14">
        <v>6.63</v>
      </c>
      <c r="D148" s="14">
        <v>113.7</v>
      </c>
    </row>
    <row r="149">
      <c r="A149" s="13" t="s">
        <v>155</v>
      </c>
      <c r="B149" s="14">
        <v>2.0</v>
      </c>
      <c r="C149" s="14">
        <v>3.6</v>
      </c>
      <c r="D149" s="14">
        <v>136.0</v>
      </c>
    </row>
    <row r="150">
      <c r="A150" s="13" t="s">
        <v>156</v>
      </c>
      <c r="B150" s="14">
        <v>5.0</v>
      </c>
      <c r="C150" s="14">
        <v>8.29</v>
      </c>
      <c r="D150" s="14">
        <v>110.5</v>
      </c>
    </row>
    <row r="151">
      <c r="A151" s="13" t="s">
        <v>157</v>
      </c>
      <c r="B151" s="14">
        <v>4.0</v>
      </c>
      <c r="C151" s="14">
        <v>16.29</v>
      </c>
      <c r="D151" s="14">
        <v>119.3</v>
      </c>
    </row>
    <row r="152">
      <c r="A152" s="13" t="s">
        <v>158</v>
      </c>
      <c r="B152" s="14">
        <v>7.0</v>
      </c>
      <c r="C152" s="14">
        <v>1.48</v>
      </c>
      <c r="D152" s="14">
        <v>114.4</v>
      </c>
    </row>
    <row r="153">
      <c r="A153" s="13" t="s">
        <v>159</v>
      </c>
      <c r="B153" s="14">
        <v>7.0</v>
      </c>
      <c r="C153" s="14">
        <v>8.69</v>
      </c>
      <c r="D153" s="14">
        <v>110.3</v>
      </c>
    </row>
    <row r="154">
      <c r="A154" s="13" t="s">
        <v>160</v>
      </c>
      <c r="B154" s="14">
        <v>2.0</v>
      </c>
      <c r="C154" s="14">
        <v>7.04</v>
      </c>
      <c r="D154" s="14">
        <v>122.3</v>
      </c>
    </row>
    <row r="155">
      <c r="A155" s="13" t="s">
        <v>161</v>
      </c>
      <c r="B155" s="14">
        <v>6.0</v>
      </c>
      <c r="C155" s="14">
        <v>1.56</v>
      </c>
      <c r="D155" s="14">
        <v>111.8</v>
      </c>
    </row>
    <row r="156">
      <c r="A156" s="13" t="s">
        <v>162</v>
      </c>
      <c r="B156" s="14">
        <v>7.0</v>
      </c>
      <c r="C156" s="14">
        <v>9.78</v>
      </c>
      <c r="D156" s="14">
        <v>163.3</v>
      </c>
    </row>
    <row r="157">
      <c r="A157" s="13">
        <v>6.7465649E7</v>
      </c>
      <c r="B157" s="14">
        <v>2.0</v>
      </c>
      <c r="C157" s="14">
        <v>3.2</v>
      </c>
      <c r="D157" s="14">
        <v>53.8</v>
      </c>
    </row>
    <row r="158">
      <c r="A158" s="13" t="s">
        <v>163</v>
      </c>
      <c r="B158" s="14">
        <v>7.0</v>
      </c>
      <c r="C158" s="14">
        <v>6.69</v>
      </c>
      <c r="D158" s="14">
        <v>103.6</v>
      </c>
    </row>
    <row r="159">
      <c r="A159" s="13" t="s">
        <v>164</v>
      </c>
      <c r="B159" s="14">
        <v>5.0</v>
      </c>
      <c r="C159" s="14">
        <v>0.86</v>
      </c>
      <c r="D159" s="14">
        <v>93.9</v>
      </c>
    </row>
    <row r="160">
      <c r="A160" s="13" t="s">
        <v>165</v>
      </c>
      <c r="B160" s="14">
        <v>7.0</v>
      </c>
      <c r="C160" s="14">
        <v>6.15</v>
      </c>
      <c r="D160" s="14">
        <v>126.6</v>
      </c>
    </row>
    <row r="161">
      <c r="A161" s="13" t="s">
        <v>166</v>
      </c>
      <c r="B161" s="14">
        <v>6.0</v>
      </c>
      <c r="C161" s="14">
        <v>3.66</v>
      </c>
      <c r="D161" s="14">
        <v>122.3</v>
      </c>
    </row>
    <row r="162">
      <c r="A162" s="13" t="s">
        <v>167</v>
      </c>
      <c r="B162" s="14">
        <v>5.0</v>
      </c>
      <c r="C162" s="14">
        <v>17.28</v>
      </c>
      <c r="D162" s="14">
        <v>168.7</v>
      </c>
    </row>
    <row r="163">
      <c r="A163" s="13" t="s">
        <v>168</v>
      </c>
      <c r="B163" s="14">
        <v>6.0</v>
      </c>
      <c r="C163" s="14">
        <v>0.59</v>
      </c>
      <c r="D163" s="14">
        <v>178.5</v>
      </c>
    </row>
    <row r="164">
      <c r="A164" s="13" t="s">
        <v>169</v>
      </c>
      <c r="B164" s="14">
        <v>5.0</v>
      </c>
      <c r="C164" s="14">
        <v>5.42</v>
      </c>
      <c r="D164" s="14">
        <v>96.8</v>
      </c>
    </row>
    <row r="165">
      <c r="A165" s="13" t="s">
        <v>170</v>
      </c>
      <c r="B165" s="14">
        <v>4.0</v>
      </c>
      <c r="C165" s="14">
        <v>6.13</v>
      </c>
      <c r="D165" s="14">
        <v>120.0</v>
      </c>
    </row>
    <row r="166">
      <c r="A166" s="13" t="s">
        <v>171</v>
      </c>
      <c r="B166" s="14">
        <v>7.0</v>
      </c>
      <c r="C166" s="14">
        <v>12.91</v>
      </c>
      <c r="D166" s="14">
        <v>125.9</v>
      </c>
    </row>
    <row r="167">
      <c r="A167" s="13" t="s">
        <v>172</v>
      </c>
      <c r="B167" s="14">
        <v>1.0</v>
      </c>
      <c r="C167" s="14">
        <v>8.54</v>
      </c>
      <c r="D167" s="14">
        <v>96.1</v>
      </c>
    </row>
    <row r="168">
      <c r="A168" s="13" t="s">
        <v>173</v>
      </c>
      <c r="B168" s="14">
        <v>8.0</v>
      </c>
      <c r="C168" s="14">
        <v>11.0</v>
      </c>
      <c r="D168" s="14">
        <v>138.9</v>
      </c>
    </row>
    <row r="169">
      <c r="A169" s="13" t="s">
        <v>174</v>
      </c>
      <c r="B169" s="14">
        <v>4.0</v>
      </c>
      <c r="C169" s="14">
        <v>15.01</v>
      </c>
      <c r="D169" s="14">
        <v>112.8</v>
      </c>
    </row>
    <row r="170">
      <c r="A170" s="13" t="s">
        <v>175</v>
      </c>
      <c r="B170" s="14">
        <v>5.0</v>
      </c>
      <c r="C170" s="14">
        <v>19.82</v>
      </c>
      <c r="D170" s="14">
        <v>88.0</v>
      </c>
    </row>
    <row r="171">
      <c r="A171" s="13" t="s">
        <v>176</v>
      </c>
      <c r="B171" s="14">
        <v>3.0</v>
      </c>
      <c r="C171" s="14">
        <v>3.77</v>
      </c>
      <c r="D171" s="14">
        <v>111.6</v>
      </c>
    </row>
    <row r="172">
      <c r="A172" s="13">
        <v>7205854.0</v>
      </c>
      <c r="B172" s="14">
        <v>7.0</v>
      </c>
      <c r="C172" s="14">
        <v>7.72</v>
      </c>
      <c r="D172" s="14">
        <v>90.1</v>
      </c>
    </row>
    <row r="173">
      <c r="A173" s="13" t="s">
        <v>177</v>
      </c>
      <c r="B173" s="14">
        <v>2.0</v>
      </c>
      <c r="C173" s="14">
        <v>18.33</v>
      </c>
      <c r="D173" s="14">
        <v>151.1</v>
      </c>
    </row>
    <row r="174">
      <c r="A174" s="13" t="s">
        <v>178</v>
      </c>
      <c r="B174" s="14">
        <v>5.0</v>
      </c>
      <c r="C174" s="14">
        <v>45.52</v>
      </c>
      <c r="D174" s="14">
        <v>177.0</v>
      </c>
    </row>
    <row r="175">
      <c r="A175" s="13" t="s">
        <v>179</v>
      </c>
      <c r="B175" s="14">
        <v>10.0</v>
      </c>
      <c r="C175" s="14">
        <v>22.03</v>
      </c>
      <c r="D175" s="14">
        <v>127.3</v>
      </c>
    </row>
    <row r="176">
      <c r="A176" s="13" t="s">
        <v>180</v>
      </c>
      <c r="B176" s="14">
        <v>7.0</v>
      </c>
      <c r="C176" s="14">
        <v>4.64</v>
      </c>
      <c r="D176" s="14">
        <v>123.3</v>
      </c>
    </row>
    <row r="177">
      <c r="A177" s="13" t="s">
        <v>181</v>
      </c>
      <c r="B177" s="14">
        <v>7.0</v>
      </c>
      <c r="C177" s="14">
        <v>2.17</v>
      </c>
      <c r="D177" s="14">
        <v>124.6</v>
      </c>
    </row>
    <row r="178">
      <c r="A178" s="13" t="s">
        <v>182</v>
      </c>
      <c r="B178" s="14">
        <v>10.0</v>
      </c>
      <c r="C178" s="14">
        <v>6.72</v>
      </c>
      <c r="D178" s="14">
        <v>155.5</v>
      </c>
    </row>
    <row r="179">
      <c r="A179" s="13" t="s">
        <v>183</v>
      </c>
      <c r="B179" s="14">
        <v>1.0</v>
      </c>
      <c r="C179" s="14">
        <v>13.53</v>
      </c>
      <c r="D179" s="14">
        <v>154.8</v>
      </c>
    </row>
    <row r="180">
      <c r="A180" s="13" t="s">
        <v>184</v>
      </c>
      <c r="B180" s="14">
        <v>5.0</v>
      </c>
      <c r="C180" s="14">
        <v>6.78</v>
      </c>
      <c r="D180" s="14">
        <v>116.5</v>
      </c>
    </row>
    <row r="181">
      <c r="A181" s="13" t="s">
        <v>185</v>
      </c>
      <c r="B181" s="14">
        <v>3.0</v>
      </c>
      <c r="C181" s="14">
        <v>6.6</v>
      </c>
      <c r="D181" s="14">
        <v>127.6</v>
      </c>
    </row>
    <row r="182">
      <c r="A182" s="13" t="s">
        <v>186</v>
      </c>
      <c r="B182" s="14">
        <v>8.0</v>
      </c>
      <c r="C182" s="14">
        <v>18.22</v>
      </c>
      <c r="D182" s="14">
        <v>139.6</v>
      </c>
    </row>
    <row r="183">
      <c r="A183" s="13" t="s">
        <v>187</v>
      </c>
      <c r="B183" s="14">
        <v>7.0</v>
      </c>
      <c r="C183" s="14">
        <v>4.48</v>
      </c>
      <c r="D183" s="14">
        <v>85.9</v>
      </c>
    </row>
    <row r="184">
      <c r="A184" s="13" t="s">
        <v>188</v>
      </c>
      <c r="B184" s="14">
        <v>3.0</v>
      </c>
      <c r="C184" s="14">
        <v>19.65</v>
      </c>
      <c r="D184" s="14">
        <v>156.4</v>
      </c>
    </row>
    <row r="185">
      <c r="A185" s="13" t="s">
        <v>189</v>
      </c>
      <c r="B185" s="14">
        <v>1.0</v>
      </c>
      <c r="C185" s="14">
        <v>5.22</v>
      </c>
      <c r="D185" s="14">
        <v>172.0</v>
      </c>
    </row>
    <row r="186">
      <c r="A186" s="13" t="s">
        <v>190</v>
      </c>
      <c r="B186" s="14">
        <v>5.0</v>
      </c>
      <c r="C186" s="14">
        <v>3.98</v>
      </c>
      <c r="D186" s="14">
        <v>155.0</v>
      </c>
    </row>
    <row r="187">
      <c r="A187" s="13" t="s">
        <v>191</v>
      </c>
      <c r="B187" s="14">
        <v>3.0</v>
      </c>
      <c r="C187" s="14">
        <v>6.05</v>
      </c>
      <c r="D187" s="14">
        <v>82.6</v>
      </c>
    </row>
    <row r="188">
      <c r="A188" s="13" t="s">
        <v>192</v>
      </c>
      <c r="B188" s="14">
        <v>6.0</v>
      </c>
      <c r="C188" s="14">
        <v>14.37</v>
      </c>
      <c r="D188" s="14">
        <v>60.9</v>
      </c>
    </row>
    <row r="189">
      <c r="A189" s="13" t="s">
        <v>193</v>
      </c>
      <c r="B189" s="14">
        <v>3.0</v>
      </c>
      <c r="C189" s="14">
        <v>1.35</v>
      </c>
      <c r="D189" s="14">
        <v>141.3</v>
      </c>
    </row>
    <row r="190">
      <c r="A190" s="13" t="s">
        <v>194</v>
      </c>
      <c r="B190" s="14">
        <v>4.0</v>
      </c>
      <c r="C190" s="14">
        <v>2.19</v>
      </c>
      <c r="D190" s="14">
        <v>97.2</v>
      </c>
    </row>
    <row r="191">
      <c r="A191" s="13" t="s">
        <v>195</v>
      </c>
      <c r="B191" s="14">
        <v>5.0</v>
      </c>
      <c r="C191" s="14">
        <v>30.25</v>
      </c>
      <c r="D191" s="14">
        <v>128.6</v>
      </c>
    </row>
    <row r="192">
      <c r="A192" s="13" t="s">
        <v>196</v>
      </c>
      <c r="B192" s="14">
        <v>8.0</v>
      </c>
      <c r="C192" s="14">
        <v>1.93</v>
      </c>
      <c r="D192" s="14">
        <v>166.1</v>
      </c>
    </row>
    <row r="193">
      <c r="A193" s="13" t="s">
        <v>197</v>
      </c>
      <c r="B193" s="14">
        <v>7.0</v>
      </c>
      <c r="C193" s="14">
        <v>8.39</v>
      </c>
      <c r="D193" s="14">
        <v>100.3</v>
      </c>
    </row>
    <row r="194">
      <c r="A194" s="13" t="s">
        <v>198</v>
      </c>
      <c r="B194" s="14">
        <v>5.0</v>
      </c>
      <c r="C194" s="14">
        <v>8.66</v>
      </c>
      <c r="D194" s="14">
        <v>108.7</v>
      </c>
    </row>
    <row r="195">
      <c r="A195" s="13" t="s">
        <v>199</v>
      </c>
      <c r="B195" s="14">
        <v>4.0</v>
      </c>
      <c r="C195" s="14">
        <v>6.73</v>
      </c>
      <c r="D195" s="14">
        <v>128.3</v>
      </c>
    </row>
    <row r="196">
      <c r="A196" s="13" t="s">
        <v>200</v>
      </c>
      <c r="B196" s="14">
        <v>6.0</v>
      </c>
      <c r="C196" s="14">
        <v>10.35</v>
      </c>
      <c r="D196" s="14">
        <v>81.1</v>
      </c>
    </row>
    <row r="197">
      <c r="A197" s="13" t="s">
        <v>201</v>
      </c>
      <c r="B197" s="14">
        <v>8.0</v>
      </c>
      <c r="C197" s="14">
        <v>2.61</v>
      </c>
      <c r="D197" s="14">
        <v>97.3</v>
      </c>
    </row>
    <row r="198">
      <c r="A198" s="13" t="s">
        <v>202</v>
      </c>
      <c r="B198" s="14">
        <v>4.0</v>
      </c>
      <c r="C198" s="14">
        <v>8.04</v>
      </c>
      <c r="D198" s="14">
        <v>120.7</v>
      </c>
    </row>
    <row r="199">
      <c r="A199" s="13">
        <v>5.7756568E7</v>
      </c>
      <c r="B199" s="14">
        <v>3.0</v>
      </c>
      <c r="C199" s="14">
        <v>4.65</v>
      </c>
      <c r="D199" s="14">
        <v>111.0</v>
      </c>
    </row>
    <row r="200">
      <c r="A200" s="13" t="s">
        <v>203</v>
      </c>
      <c r="B200" s="14">
        <v>2.0</v>
      </c>
      <c r="C200" s="14">
        <v>10.84</v>
      </c>
      <c r="D200" s="14">
        <v>138.3</v>
      </c>
    </row>
    <row r="201">
      <c r="A201" s="13" t="s">
        <v>204</v>
      </c>
      <c r="B201" s="14">
        <v>3.0</v>
      </c>
      <c r="C201" s="14">
        <v>1.52</v>
      </c>
      <c r="D201" s="14">
        <v>203.0</v>
      </c>
    </row>
    <row r="202">
      <c r="A202" s="13" t="s">
        <v>205</v>
      </c>
      <c r="B202" s="14">
        <v>9.0</v>
      </c>
      <c r="C202" s="14">
        <v>8.46</v>
      </c>
      <c r="D202" s="14">
        <v>123.0</v>
      </c>
    </row>
    <row r="203">
      <c r="A203" s="13" t="s">
        <v>206</v>
      </c>
      <c r="B203" s="14">
        <v>5.0</v>
      </c>
      <c r="C203" s="14">
        <v>2.05</v>
      </c>
      <c r="D203" s="14">
        <v>94.7</v>
      </c>
    </row>
    <row r="204">
      <c r="A204" s="13" t="s">
        <v>207</v>
      </c>
      <c r="B204" s="14">
        <v>4.0</v>
      </c>
      <c r="C204" s="14">
        <v>3.27</v>
      </c>
      <c r="D204" s="14">
        <v>162.5</v>
      </c>
    </row>
    <row r="205">
      <c r="A205" s="13" t="s">
        <v>208</v>
      </c>
      <c r="B205" s="14">
        <v>7.0</v>
      </c>
      <c r="C205" s="14">
        <v>2.47</v>
      </c>
      <c r="D205" s="14">
        <v>72.3</v>
      </c>
    </row>
    <row r="206">
      <c r="A206" s="13" t="s">
        <v>209</v>
      </c>
      <c r="B206" s="14">
        <v>8.0</v>
      </c>
      <c r="C206" s="14">
        <v>2.02</v>
      </c>
      <c r="D206" s="14">
        <v>78.3</v>
      </c>
    </row>
    <row r="207">
      <c r="A207" s="13" t="s">
        <v>210</v>
      </c>
      <c r="B207" s="14">
        <v>4.0</v>
      </c>
      <c r="C207" s="14">
        <v>17.47</v>
      </c>
      <c r="D207" s="14">
        <v>102.1</v>
      </c>
    </row>
    <row r="208">
      <c r="A208" s="13" t="s">
        <v>211</v>
      </c>
      <c r="B208" s="14">
        <v>4.0</v>
      </c>
      <c r="C208" s="14">
        <v>3.36</v>
      </c>
      <c r="D208" s="14">
        <v>111.5</v>
      </c>
    </row>
    <row r="209">
      <c r="A209" s="13" t="s">
        <v>212</v>
      </c>
      <c r="B209" s="14">
        <v>8.0</v>
      </c>
      <c r="C209" s="14">
        <v>26.19</v>
      </c>
      <c r="D209" s="14">
        <v>101.4</v>
      </c>
    </row>
    <row r="210">
      <c r="A210" s="13" t="s">
        <v>213</v>
      </c>
      <c r="B210" s="14">
        <v>5.0</v>
      </c>
      <c r="C210" s="14">
        <v>35.04</v>
      </c>
      <c r="D210" s="14">
        <v>119.1</v>
      </c>
    </row>
    <row r="211">
      <c r="A211" s="13" t="s">
        <v>214</v>
      </c>
      <c r="B211" s="14">
        <v>5.0</v>
      </c>
      <c r="C211" s="14">
        <v>8.47</v>
      </c>
      <c r="D211" s="14">
        <v>128.2</v>
      </c>
    </row>
    <row r="212">
      <c r="A212" s="13" t="s">
        <v>215</v>
      </c>
      <c r="B212" s="14">
        <v>6.0</v>
      </c>
      <c r="C212" s="14">
        <v>1.54</v>
      </c>
      <c r="D212" s="14">
        <v>152.1</v>
      </c>
    </row>
    <row r="213">
      <c r="A213" s="13" t="s">
        <v>216</v>
      </c>
      <c r="B213" s="14">
        <v>7.0</v>
      </c>
      <c r="C213" s="14">
        <v>4.69</v>
      </c>
      <c r="D213" s="14">
        <v>122.7</v>
      </c>
    </row>
    <row r="214">
      <c r="A214" s="13" t="s">
        <v>217</v>
      </c>
      <c r="B214" s="14">
        <v>2.0</v>
      </c>
      <c r="C214" s="14">
        <v>15.98</v>
      </c>
      <c r="D214" s="14">
        <v>103.1</v>
      </c>
    </row>
    <row r="215">
      <c r="A215" s="13" t="s">
        <v>218</v>
      </c>
      <c r="B215" s="14">
        <v>1.0</v>
      </c>
      <c r="C215" s="14">
        <v>4.58</v>
      </c>
      <c r="D215" s="14">
        <v>150.4</v>
      </c>
    </row>
    <row r="216">
      <c r="A216" s="13" t="s">
        <v>219</v>
      </c>
      <c r="B216" s="14">
        <v>7.0</v>
      </c>
      <c r="C216" s="14">
        <v>0.91</v>
      </c>
      <c r="D216" s="14">
        <v>95.5</v>
      </c>
    </row>
    <row r="217">
      <c r="A217" s="13" t="s">
        <v>220</v>
      </c>
      <c r="B217" s="14">
        <v>5.0</v>
      </c>
      <c r="C217" s="14">
        <v>8.14</v>
      </c>
      <c r="D217" s="14">
        <v>71.0</v>
      </c>
    </row>
    <row r="218">
      <c r="A218" s="13" t="s">
        <v>221</v>
      </c>
      <c r="B218" s="14">
        <v>4.0</v>
      </c>
      <c r="C218" s="14">
        <v>18.65</v>
      </c>
      <c r="D218" s="14">
        <v>156.2</v>
      </c>
    </row>
    <row r="219">
      <c r="A219" s="13" t="s">
        <v>222</v>
      </c>
      <c r="B219" s="14">
        <v>4.0</v>
      </c>
      <c r="C219" s="14">
        <v>15.89</v>
      </c>
      <c r="D219" s="14">
        <v>154.3</v>
      </c>
    </row>
    <row r="220">
      <c r="A220" s="13" t="s">
        <v>223</v>
      </c>
      <c r="B220" s="14">
        <v>3.0</v>
      </c>
      <c r="C220" s="14">
        <v>1.93</v>
      </c>
      <c r="D220" s="14">
        <v>96.2</v>
      </c>
    </row>
    <row r="221">
      <c r="A221" s="13" t="s">
        <v>224</v>
      </c>
      <c r="B221" s="14">
        <v>8.0</v>
      </c>
      <c r="C221" s="14">
        <v>11.17</v>
      </c>
      <c r="D221" s="14">
        <v>108.0</v>
      </c>
    </row>
    <row r="222">
      <c r="A222" s="13" t="s">
        <v>225</v>
      </c>
      <c r="B222" s="14">
        <v>7.0</v>
      </c>
      <c r="C222" s="14">
        <v>2.49</v>
      </c>
      <c r="D222" s="14">
        <v>92.5</v>
      </c>
    </row>
    <row r="223">
      <c r="A223" s="13" t="s">
        <v>226</v>
      </c>
      <c r="B223" s="14">
        <v>1.0</v>
      </c>
      <c r="C223" s="14">
        <v>2.46</v>
      </c>
      <c r="D223" s="14">
        <v>129.8</v>
      </c>
    </row>
    <row r="224">
      <c r="A224" s="13" t="s">
        <v>227</v>
      </c>
      <c r="B224" s="14">
        <v>2.0</v>
      </c>
      <c r="C224" s="14">
        <v>20.72</v>
      </c>
      <c r="D224" s="14">
        <v>172.0</v>
      </c>
    </row>
    <row r="225">
      <c r="A225" s="13" t="s">
        <v>228</v>
      </c>
      <c r="B225" s="14">
        <v>4.0</v>
      </c>
      <c r="C225" s="14">
        <v>2.87</v>
      </c>
      <c r="D225" s="14">
        <v>141.1</v>
      </c>
    </row>
    <row r="226">
      <c r="A226" s="13" t="s">
        <v>229</v>
      </c>
      <c r="B226" s="14">
        <v>6.0</v>
      </c>
      <c r="C226" s="14">
        <v>3.06</v>
      </c>
      <c r="D226" s="14">
        <v>151.1</v>
      </c>
    </row>
    <row r="227">
      <c r="A227" s="13" t="s">
        <v>230</v>
      </c>
      <c r="B227" s="14">
        <v>4.0</v>
      </c>
      <c r="C227" s="14">
        <v>0.01</v>
      </c>
      <c r="D227" s="14">
        <v>144.6</v>
      </c>
    </row>
    <row r="228">
      <c r="A228" s="13" t="s">
        <v>231</v>
      </c>
      <c r="B228" s="14">
        <v>6.0</v>
      </c>
      <c r="C228" s="14">
        <v>20.45</v>
      </c>
      <c r="D228" s="14">
        <v>120.0</v>
      </c>
    </row>
    <row r="229">
      <c r="A229" s="13" t="s">
        <v>232</v>
      </c>
      <c r="B229" s="14">
        <v>8.0</v>
      </c>
      <c r="C229" s="14">
        <v>15.73</v>
      </c>
      <c r="D229" s="14">
        <v>152.5</v>
      </c>
    </row>
    <row r="230">
      <c r="A230" s="13" t="s">
        <v>233</v>
      </c>
      <c r="B230" s="14">
        <v>7.0</v>
      </c>
      <c r="C230" s="14">
        <v>9.87</v>
      </c>
      <c r="D230" s="14">
        <v>142.4</v>
      </c>
    </row>
    <row r="231">
      <c r="A231" s="13" t="s">
        <v>234</v>
      </c>
      <c r="B231" s="14">
        <v>5.0</v>
      </c>
      <c r="C231" s="14">
        <v>13.87</v>
      </c>
      <c r="D231" s="14">
        <v>163.2</v>
      </c>
    </row>
    <row r="232">
      <c r="A232" s="13" t="s">
        <v>235</v>
      </c>
      <c r="B232" s="14">
        <v>2.0</v>
      </c>
      <c r="C232" s="14">
        <v>1.65</v>
      </c>
      <c r="D232" s="14">
        <v>106.2</v>
      </c>
    </row>
    <row r="233">
      <c r="A233" s="13" t="s">
        <v>236</v>
      </c>
      <c r="B233" s="14">
        <v>1.0</v>
      </c>
      <c r="C233" s="14">
        <v>6.13</v>
      </c>
      <c r="D233" s="14">
        <v>67.9</v>
      </c>
    </row>
    <row r="234">
      <c r="A234" s="13" t="s">
        <v>237</v>
      </c>
      <c r="B234" s="14">
        <v>7.0</v>
      </c>
      <c r="C234" s="14">
        <v>4.33</v>
      </c>
      <c r="D234" s="14">
        <v>151.4</v>
      </c>
    </row>
    <row r="235">
      <c r="A235" s="13" t="s">
        <v>238</v>
      </c>
      <c r="B235" s="14">
        <v>4.0</v>
      </c>
      <c r="C235" s="14">
        <v>0.98</v>
      </c>
      <c r="D235" s="14">
        <v>130.5</v>
      </c>
    </row>
    <row r="236">
      <c r="A236" s="13" t="s">
        <v>239</v>
      </c>
      <c r="B236" s="14">
        <v>1.0</v>
      </c>
      <c r="C236" s="14">
        <v>6.66</v>
      </c>
      <c r="D236" s="14">
        <v>111.1</v>
      </c>
    </row>
    <row r="237">
      <c r="A237" s="13" t="s">
        <v>240</v>
      </c>
      <c r="B237" s="14">
        <v>6.0</v>
      </c>
      <c r="C237" s="14">
        <v>25.35</v>
      </c>
      <c r="D237" s="14">
        <v>112.8</v>
      </c>
    </row>
    <row r="238">
      <c r="A238" s="13" t="s">
        <v>241</v>
      </c>
      <c r="B238" s="14">
        <v>5.0</v>
      </c>
      <c r="C238" s="14">
        <v>0.41</v>
      </c>
      <c r="D238" s="14">
        <v>196.6</v>
      </c>
    </row>
    <row r="239">
      <c r="A239" s="13" t="s">
        <v>242</v>
      </c>
      <c r="B239" s="14">
        <v>8.0</v>
      </c>
      <c r="C239" s="14">
        <v>3.45</v>
      </c>
      <c r="D239" s="14">
        <v>100.7</v>
      </c>
    </row>
    <row r="240">
      <c r="A240" s="13" t="s">
        <v>243</v>
      </c>
      <c r="B240" s="14">
        <v>5.0</v>
      </c>
      <c r="C240" s="14">
        <v>2.33</v>
      </c>
      <c r="D240" s="14">
        <v>94.4</v>
      </c>
    </row>
    <row r="241">
      <c r="A241" s="13" t="s">
        <v>244</v>
      </c>
      <c r="B241" s="14">
        <v>4.0</v>
      </c>
      <c r="C241" s="14">
        <v>2.72</v>
      </c>
      <c r="D241" s="14">
        <v>122.6</v>
      </c>
    </row>
    <row r="242">
      <c r="A242" s="13" t="s">
        <v>245</v>
      </c>
      <c r="B242" s="14">
        <v>10.0</v>
      </c>
      <c r="C242" s="14">
        <v>23.91</v>
      </c>
      <c r="D242" s="14">
        <v>155.4</v>
      </c>
    </row>
    <row r="243">
      <c r="A243" s="13" t="s">
        <v>246</v>
      </c>
      <c r="B243" s="14">
        <v>7.0</v>
      </c>
      <c r="C243" s="14">
        <v>6.31</v>
      </c>
      <c r="D243" s="14">
        <v>188.4</v>
      </c>
    </row>
    <row r="244">
      <c r="A244" s="13" t="s">
        <v>247</v>
      </c>
      <c r="B244" s="14">
        <v>4.0</v>
      </c>
      <c r="C244" s="14">
        <v>6.28</v>
      </c>
      <c r="D244" s="14">
        <v>139.7</v>
      </c>
    </row>
    <row r="245">
      <c r="A245" s="13">
        <v>9.1158499E7</v>
      </c>
      <c r="B245" s="14">
        <v>8.0</v>
      </c>
      <c r="C245" s="14">
        <v>14.3</v>
      </c>
      <c r="D245" s="14">
        <v>81.9</v>
      </c>
    </row>
    <row r="246">
      <c r="A246" s="13" t="s">
        <v>248</v>
      </c>
      <c r="B246" s="14">
        <v>5.0</v>
      </c>
      <c r="C246" s="14">
        <v>1.68</v>
      </c>
      <c r="D246" s="14">
        <v>179.1</v>
      </c>
    </row>
    <row r="247">
      <c r="A247" s="13" t="s">
        <v>249</v>
      </c>
      <c r="B247" s="14">
        <v>5.0</v>
      </c>
      <c r="C247" s="14">
        <v>6.68</v>
      </c>
      <c r="D247" s="14">
        <v>119.4</v>
      </c>
    </row>
    <row r="248">
      <c r="A248" s="13" t="s">
        <v>250</v>
      </c>
      <c r="B248" s="14">
        <v>5.0</v>
      </c>
      <c r="C248" s="14">
        <v>5.62</v>
      </c>
      <c r="D248" s="14">
        <v>94.9</v>
      </c>
    </row>
    <row r="249">
      <c r="A249" s="13" t="s">
        <v>251</v>
      </c>
      <c r="B249" s="14">
        <v>2.0</v>
      </c>
      <c r="C249" s="14">
        <v>9.09</v>
      </c>
      <c r="D249" s="14">
        <v>87.6</v>
      </c>
    </row>
    <row r="250">
      <c r="A250" s="13" t="s">
        <v>252</v>
      </c>
      <c r="B250" s="14">
        <v>3.0</v>
      </c>
      <c r="C250" s="14">
        <v>77.24</v>
      </c>
      <c r="D250" s="14">
        <v>145.1</v>
      </c>
    </row>
    <row r="251">
      <c r="A251" s="13" t="s">
        <v>253</v>
      </c>
      <c r="B251" s="14">
        <v>4.0</v>
      </c>
      <c r="C251" s="14">
        <v>14.67</v>
      </c>
      <c r="D251" s="14">
        <v>127.2</v>
      </c>
    </row>
    <row r="252">
      <c r="A252" s="13" t="s">
        <v>254</v>
      </c>
      <c r="B252" s="14">
        <v>9.0</v>
      </c>
      <c r="C252" s="14">
        <v>5.07</v>
      </c>
      <c r="D252" s="14">
        <v>130.4</v>
      </c>
    </row>
    <row r="253">
      <c r="A253" s="13" t="s">
        <v>255</v>
      </c>
      <c r="B253" s="14">
        <v>0.0</v>
      </c>
      <c r="C253" s="14">
        <v>17.58</v>
      </c>
      <c r="D253" s="14">
        <v>158.6</v>
      </c>
    </row>
    <row r="254">
      <c r="A254" s="13">
        <v>4118988.0</v>
      </c>
      <c r="B254" s="14">
        <v>5.0</v>
      </c>
      <c r="C254" s="14">
        <v>1.87</v>
      </c>
      <c r="D254" s="14">
        <v>95.9</v>
      </c>
    </row>
    <row r="255">
      <c r="A255" s="13" t="s">
        <v>256</v>
      </c>
      <c r="B255" s="14">
        <v>5.0</v>
      </c>
      <c r="C255" s="14">
        <v>0.31</v>
      </c>
      <c r="D255" s="14">
        <v>161.0</v>
      </c>
    </row>
    <row r="256">
      <c r="A256" s="13" t="s">
        <v>257</v>
      </c>
      <c r="B256" s="14">
        <v>5.0</v>
      </c>
      <c r="C256" s="14">
        <v>2.29</v>
      </c>
      <c r="D256" s="14">
        <v>104.4</v>
      </c>
    </row>
    <row r="257">
      <c r="A257" s="13" t="s">
        <v>258</v>
      </c>
      <c r="B257" s="14">
        <v>5.0</v>
      </c>
      <c r="C257" s="14">
        <v>4.16</v>
      </c>
      <c r="D257" s="14">
        <v>184.9</v>
      </c>
    </row>
    <row r="258">
      <c r="A258" s="13" t="s">
        <v>259</v>
      </c>
      <c r="B258" s="14">
        <v>4.0</v>
      </c>
      <c r="C258" s="14">
        <v>7.15</v>
      </c>
      <c r="D258" s="14">
        <v>138.0</v>
      </c>
    </row>
    <row r="259">
      <c r="A259" s="13" t="s">
        <v>260</v>
      </c>
      <c r="B259" s="14">
        <v>9.0</v>
      </c>
      <c r="C259" s="14">
        <v>9.55</v>
      </c>
      <c r="D259" s="14">
        <v>92.4</v>
      </c>
    </row>
    <row r="260">
      <c r="A260" s="13" t="s">
        <v>261</v>
      </c>
      <c r="B260" s="14">
        <v>6.0</v>
      </c>
      <c r="C260" s="14">
        <v>24.15</v>
      </c>
      <c r="D260" s="14">
        <v>59.2</v>
      </c>
    </row>
    <row r="261">
      <c r="A261" s="13" t="s">
        <v>262</v>
      </c>
      <c r="B261" s="14">
        <v>2.0</v>
      </c>
      <c r="C261" s="14">
        <v>7.13</v>
      </c>
      <c r="D261" s="14">
        <v>144.3</v>
      </c>
    </row>
    <row r="262">
      <c r="A262" s="13" t="s">
        <v>263</v>
      </c>
      <c r="B262" s="14">
        <v>6.0</v>
      </c>
      <c r="C262" s="14">
        <v>6.96</v>
      </c>
      <c r="D262" s="14">
        <v>108.8</v>
      </c>
    </row>
    <row r="263">
      <c r="A263" s="13" t="s">
        <v>264</v>
      </c>
      <c r="B263" s="14">
        <v>6.0</v>
      </c>
      <c r="C263" s="14">
        <v>0.52</v>
      </c>
      <c r="D263" s="14">
        <v>115.3</v>
      </c>
    </row>
    <row r="264">
      <c r="A264" s="13" t="s">
        <v>265</v>
      </c>
      <c r="B264" s="14">
        <v>6.0</v>
      </c>
      <c r="C264" s="14">
        <v>0.36</v>
      </c>
      <c r="D264" s="14">
        <v>143.0</v>
      </c>
    </row>
    <row r="265">
      <c r="A265" s="13" t="s">
        <v>266</v>
      </c>
      <c r="B265" s="14">
        <v>5.0</v>
      </c>
      <c r="C265" s="14">
        <v>8.01</v>
      </c>
      <c r="D265" s="14">
        <v>150.3</v>
      </c>
    </row>
    <row r="266">
      <c r="A266" s="13" t="s">
        <v>267</v>
      </c>
      <c r="B266" s="14">
        <v>2.0</v>
      </c>
      <c r="C266" s="14">
        <v>5.77</v>
      </c>
      <c r="D266" s="14">
        <v>156.7</v>
      </c>
    </row>
    <row r="267">
      <c r="A267" s="13" t="s">
        <v>268</v>
      </c>
      <c r="B267" s="14">
        <v>5.0</v>
      </c>
      <c r="C267" s="14">
        <v>18.27</v>
      </c>
      <c r="D267" s="14">
        <v>84.8</v>
      </c>
    </row>
    <row r="268">
      <c r="A268" s="13" t="s">
        <v>269</v>
      </c>
      <c r="B268" s="14">
        <v>3.0</v>
      </c>
      <c r="C268" s="14">
        <v>1.75</v>
      </c>
      <c r="D268" s="14">
        <v>162.8</v>
      </c>
    </row>
    <row r="269">
      <c r="A269" s="13" t="s">
        <v>270</v>
      </c>
      <c r="B269" s="14">
        <v>3.0</v>
      </c>
      <c r="C269" s="14">
        <v>0.25</v>
      </c>
      <c r="D269" s="14">
        <v>102.6</v>
      </c>
    </row>
    <row r="270">
      <c r="A270" s="13" t="s">
        <v>271</v>
      </c>
      <c r="B270" s="14">
        <v>3.0</v>
      </c>
      <c r="C270" s="14">
        <v>5.96</v>
      </c>
      <c r="D270" s="14">
        <v>52.3</v>
      </c>
    </row>
    <row r="271">
      <c r="A271" s="13" t="s">
        <v>272</v>
      </c>
      <c r="B271" s="14">
        <v>6.0</v>
      </c>
      <c r="C271" s="14">
        <v>2.71</v>
      </c>
      <c r="D271" s="14">
        <v>84.6</v>
      </c>
    </row>
    <row r="272">
      <c r="A272" s="13" t="s">
        <v>273</v>
      </c>
      <c r="B272" s="14">
        <v>6.0</v>
      </c>
      <c r="C272" s="14">
        <v>0.51</v>
      </c>
      <c r="D272" s="14">
        <v>126.5</v>
      </c>
    </row>
    <row r="273">
      <c r="A273" s="13" t="s">
        <v>274</v>
      </c>
      <c r="B273" s="14">
        <v>4.0</v>
      </c>
      <c r="C273" s="14">
        <v>12.9</v>
      </c>
      <c r="D273" s="14">
        <v>90.6</v>
      </c>
    </row>
    <row r="274">
      <c r="A274" s="13" t="s">
        <v>275</v>
      </c>
      <c r="B274" s="14">
        <v>5.0</v>
      </c>
      <c r="C274" s="14">
        <v>1.18</v>
      </c>
      <c r="D274" s="14">
        <v>117.4</v>
      </c>
    </row>
    <row r="275">
      <c r="A275" s="13" t="s">
        <v>276</v>
      </c>
      <c r="B275" s="14">
        <v>5.0</v>
      </c>
      <c r="C275" s="14">
        <v>9.37</v>
      </c>
      <c r="D275" s="14">
        <v>130.1</v>
      </c>
    </row>
    <row r="276">
      <c r="A276" s="13" t="s">
        <v>277</v>
      </c>
      <c r="B276" s="14">
        <v>7.0</v>
      </c>
      <c r="C276" s="14">
        <v>3.3</v>
      </c>
      <c r="D276" s="14">
        <v>114.6</v>
      </c>
    </row>
    <row r="277">
      <c r="A277" s="13" t="s">
        <v>278</v>
      </c>
      <c r="B277" s="14">
        <v>5.0</v>
      </c>
      <c r="C277" s="14">
        <v>1.91</v>
      </c>
      <c r="D277" s="14">
        <v>105.2</v>
      </c>
    </row>
    <row r="278">
      <c r="A278" s="13">
        <v>5.280363E7</v>
      </c>
      <c r="B278" s="14">
        <v>3.0</v>
      </c>
      <c r="C278" s="14">
        <v>4.78</v>
      </c>
      <c r="D278" s="14">
        <v>82.5</v>
      </c>
    </row>
    <row r="279">
      <c r="A279" s="13" t="s">
        <v>279</v>
      </c>
      <c r="B279" s="14">
        <v>4.0</v>
      </c>
      <c r="C279" s="14">
        <v>16.17</v>
      </c>
      <c r="D279" s="14">
        <v>120.7</v>
      </c>
    </row>
    <row r="280">
      <c r="A280" s="13" t="s">
        <v>280</v>
      </c>
      <c r="B280" s="14">
        <v>7.0</v>
      </c>
      <c r="C280" s="14">
        <v>4.98</v>
      </c>
      <c r="D280" s="14">
        <v>58.1</v>
      </c>
    </row>
    <row r="281">
      <c r="A281" s="13" t="s">
        <v>281</v>
      </c>
      <c r="B281" s="14">
        <v>5.0</v>
      </c>
      <c r="C281" s="14">
        <v>13.89</v>
      </c>
      <c r="D281" s="14">
        <v>99.4</v>
      </c>
    </row>
    <row r="282">
      <c r="A282" s="13" t="s">
        <v>282</v>
      </c>
      <c r="B282" s="14">
        <v>7.0</v>
      </c>
      <c r="C282" s="14">
        <v>1.34</v>
      </c>
      <c r="D282" s="14">
        <v>92.2</v>
      </c>
    </row>
    <row r="283">
      <c r="A283" s="13" t="s">
        <v>283</v>
      </c>
      <c r="B283" s="14">
        <v>8.0</v>
      </c>
      <c r="C283" s="14">
        <v>14.82</v>
      </c>
      <c r="D283" s="14">
        <v>112.8</v>
      </c>
    </row>
    <row r="284">
      <c r="A284" s="13" t="s">
        <v>284</v>
      </c>
      <c r="B284" s="14">
        <v>7.0</v>
      </c>
      <c r="C284" s="14">
        <v>2.7</v>
      </c>
      <c r="D284" s="14">
        <v>113.6</v>
      </c>
    </row>
    <row r="285">
      <c r="A285" s="13">
        <v>1.9291167E7</v>
      </c>
      <c r="B285" s="14">
        <v>5.0</v>
      </c>
      <c r="C285" s="14">
        <v>11.31</v>
      </c>
      <c r="D285" s="14">
        <v>148.8</v>
      </c>
    </row>
    <row r="286">
      <c r="A286" s="13" t="s">
        <v>285</v>
      </c>
      <c r="B286" s="14">
        <v>8.0</v>
      </c>
      <c r="C286" s="14">
        <v>8.34</v>
      </c>
      <c r="D286" s="14">
        <v>167.5</v>
      </c>
    </row>
    <row r="287">
      <c r="A287" s="13" t="s">
        <v>286</v>
      </c>
      <c r="B287" s="14">
        <v>4.0</v>
      </c>
      <c r="C287" s="14">
        <v>26.47</v>
      </c>
      <c r="D287" s="14">
        <v>86.5</v>
      </c>
    </row>
    <row r="288">
      <c r="A288" s="13" t="s">
        <v>287</v>
      </c>
      <c r="B288" s="14">
        <v>6.0</v>
      </c>
      <c r="C288" s="14">
        <v>4.9</v>
      </c>
      <c r="D288" s="14">
        <v>179.8</v>
      </c>
    </row>
    <row r="289">
      <c r="A289" s="13" t="s">
        <v>288</v>
      </c>
      <c r="B289" s="14">
        <v>8.0</v>
      </c>
      <c r="C289" s="14">
        <v>0.68</v>
      </c>
      <c r="D289" s="14">
        <v>96.6</v>
      </c>
    </row>
    <row r="290">
      <c r="A290" s="13" t="s">
        <v>289</v>
      </c>
      <c r="B290" s="14">
        <v>6.0</v>
      </c>
      <c r="C290" s="14">
        <v>0.19</v>
      </c>
      <c r="D290" s="14">
        <v>125.2</v>
      </c>
    </row>
    <row r="291">
      <c r="A291" s="13" t="s">
        <v>290</v>
      </c>
      <c r="B291" s="14">
        <v>3.0</v>
      </c>
      <c r="C291" s="14">
        <v>17.54</v>
      </c>
      <c r="D291" s="14">
        <v>135.3</v>
      </c>
    </row>
    <row r="292">
      <c r="A292" s="13" t="s">
        <v>291</v>
      </c>
      <c r="B292" s="14">
        <v>8.0</v>
      </c>
      <c r="C292" s="14">
        <v>7.44</v>
      </c>
      <c r="D292" s="14">
        <v>193.3</v>
      </c>
    </row>
    <row r="293">
      <c r="A293" s="13" t="s">
        <v>292</v>
      </c>
      <c r="B293" s="14">
        <v>4.0</v>
      </c>
      <c r="C293" s="14">
        <v>14.93</v>
      </c>
      <c r="D293" s="14">
        <v>103.7</v>
      </c>
    </row>
    <row r="294">
      <c r="A294" s="13" t="s">
        <v>293</v>
      </c>
      <c r="B294" s="14">
        <v>7.0</v>
      </c>
      <c r="C294" s="14">
        <v>2.67</v>
      </c>
      <c r="D294" s="14">
        <v>66.1</v>
      </c>
    </row>
    <row r="295">
      <c r="A295" s="13" t="s">
        <v>294</v>
      </c>
      <c r="B295" s="14">
        <v>2.0</v>
      </c>
      <c r="C295" s="14">
        <v>4.23</v>
      </c>
      <c r="D295" s="14">
        <v>164.7</v>
      </c>
    </row>
    <row r="296">
      <c r="A296" s="13" t="s">
        <v>295</v>
      </c>
      <c r="B296" s="14">
        <v>10.0</v>
      </c>
      <c r="C296" s="14">
        <v>0.31</v>
      </c>
      <c r="D296" s="14">
        <v>95.0</v>
      </c>
    </row>
    <row r="297">
      <c r="A297" s="13" t="s">
        <v>296</v>
      </c>
      <c r="B297" s="14">
        <v>6.0</v>
      </c>
      <c r="C297" s="14">
        <v>32.57</v>
      </c>
      <c r="D297" s="14">
        <v>109.2</v>
      </c>
    </row>
    <row r="298">
      <c r="A298" s="13" t="s">
        <v>297</v>
      </c>
      <c r="B298" s="14">
        <v>4.0</v>
      </c>
      <c r="C298" s="14">
        <v>11.02</v>
      </c>
      <c r="D298" s="14">
        <v>86.5</v>
      </c>
    </row>
    <row r="299">
      <c r="A299" s="13" t="s">
        <v>298</v>
      </c>
      <c r="B299" s="14">
        <v>5.0</v>
      </c>
      <c r="C299" s="14">
        <v>27.06</v>
      </c>
      <c r="D299" s="14">
        <v>109.2</v>
      </c>
    </row>
    <row r="300">
      <c r="A300" s="13" t="s">
        <v>299</v>
      </c>
      <c r="B300" s="14">
        <v>6.0</v>
      </c>
      <c r="C300" s="14">
        <v>3.09</v>
      </c>
      <c r="D300" s="14">
        <v>94.8</v>
      </c>
    </row>
    <row r="301">
      <c r="A301" s="13" t="s">
        <v>300</v>
      </c>
      <c r="B301" s="14">
        <v>4.0</v>
      </c>
      <c r="C301" s="14">
        <v>9.45</v>
      </c>
      <c r="D301" s="14">
        <v>140.3</v>
      </c>
    </row>
    <row r="302">
      <c r="A302" s="13" t="s">
        <v>301</v>
      </c>
      <c r="B302" s="14">
        <v>5.0</v>
      </c>
      <c r="C302" s="14">
        <v>11.35</v>
      </c>
      <c r="D302" s="14">
        <v>122.4</v>
      </c>
    </row>
    <row r="303">
      <c r="A303" s="13" t="s">
        <v>302</v>
      </c>
      <c r="B303" s="14">
        <v>6.0</v>
      </c>
      <c r="C303" s="14">
        <v>3.82</v>
      </c>
      <c r="D303" s="14">
        <v>99.6</v>
      </c>
    </row>
    <row r="304">
      <c r="A304" s="13" t="s">
        <v>303</v>
      </c>
      <c r="B304" s="14">
        <v>3.0</v>
      </c>
      <c r="C304" s="14">
        <v>18.85</v>
      </c>
      <c r="D304" s="14">
        <v>149.9</v>
      </c>
    </row>
    <row r="305">
      <c r="A305" s="13" t="s">
        <v>304</v>
      </c>
      <c r="B305" s="14">
        <v>7.0</v>
      </c>
      <c r="C305" s="14">
        <v>29.41</v>
      </c>
      <c r="D305" s="14">
        <v>127.6</v>
      </c>
    </row>
    <row r="306">
      <c r="A306" s="13" t="s">
        <v>305</v>
      </c>
      <c r="B306" s="14">
        <v>7.0</v>
      </c>
      <c r="C306" s="14">
        <v>21.62</v>
      </c>
      <c r="D306" s="14">
        <v>64.6</v>
      </c>
    </row>
    <row r="307">
      <c r="A307" s="13" t="s">
        <v>306</v>
      </c>
      <c r="B307" s="14">
        <v>8.0</v>
      </c>
      <c r="C307" s="14">
        <v>13.43</v>
      </c>
      <c r="D307" s="14">
        <v>147.6</v>
      </c>
    </row>
    <row r="308">
      <c r="A308" s="13" t="s">
        <v>307</v>
      </c>
      <c r="B308" s="14">
        <v>4.0</v>
      </c>
      <c r="C308" s="14">
        <v>3.25</v>
      </c>
      <c r="D308" s="14">
        <v>125.5</v>
      </c>
    </row>
    <row r="309">
      <c r="A309" s="13" t="s">
        <v>308</v>
      </c>
      <c r="B309" s="14">
        <v>7.0</v>
      </c>
      <c r="C309" s="14">
        <v>3.31</v>
      </c>
      <c r="D309" s="14">
        <v>161.7</v>
      </c>
    </row>
    <row r="310">
      <c r="A310" s="13" t="s">
        <v>309</v>
      </c>
      <c r="B310" s="14">
        <v>3.0</v>
      </c>
      <c r="C310" s="14">
        <v>33.07</v>
      </c>
      <c r="D310" s="14">
        <v>123.7</v>
      </c>
    </row>
    <row r="311">
      <c r="A311" s="13" t="s">
        <v>310</v>
      </c>
      <c r="B311" s="14">
        <v>4.0</v>
      </c>
      <c r="C311" s="14">
        <v>0.1</v>
      </c>
      <c r="D311" s="14">
        <v>96.2</v>
      </c>
    </row>
    <row r="312">
      <c r="A312" s="13" t="s">
        <v>311</v>
      </c>
      <c r="B312" s="14">
        <v>4.0</v>
      </c>
      <c r="C312" s="14">
        <v>12.59</v>
      </c>
      <c r="D312" s="14">
        <v>113.9</v>
      </c>
    </row>
    <row r="313">
      <c r="A313" s="13" t="s">
        <v>312</v>
      </c>
      <c r="B313" s="14">
        <v>0.0</v>
      </c>
      <c r="C313" s="14">
        <v>12.25</v>
      </c>
      <c r="D313" s="14">
        <v>144.1</v>
      </c>
    </row>
    <row r="314">
      <c r="A314" s="13" t="s">
        <v>313</v>
      </c>
      <c r="B314" s="14">
        <v>1.0</v>
      </c>
      <c r="C314" s="14">
        <v>9.75</v>
      </c>
      <c r="D314" s="14">
        <v>96.9</v>
      </c>
    </row>
    <row r="315">
      <c r="A315" s="13" t="s">
        <v>314</v>
      </c>
      <c r="B315" s="14">
        <v>1.0</v>
      </c>
      <c r="C315" s="14">
        <v>46.16</v>
      </c>
      <c r="D315" s="14">
        <v>106.8</v>
      </c>
    </row>
    <row r="316">
      <c r="A316" s="13" t="s">
        <v>315</v>
      </c>
      <c r="B316" s="14">
        <v>7.0</v>
      </c>
      <c r="C316" s="14">
        <v>3.74</v>
      </c>
      <c r="D316" s="14">
        <v>113.3</v>
      </c>
    </row>
    <row r="317">
      <c r="A317" s="13" t="s">
        <v>316</v>
      </c>
      <c r="B317" s="14">
        <v>5.0</v>
      </c>
      <c r="C317" s="14">
        <v>4.15</v>
      </c>
      <c r="D317" s="14">
        <v>85.5</v>
      </c>
    </row>
    <row r="318">
      <c r="A318" s="13">
        <v>4.1859815E7</v>
      </c>
      <c r="B318" s="14">
        <v>5.0</v>
      </c>
      <c r="C318" s="14">
        <v>0.82</v>
      </c>
      <c r="D318" s="14">
        <v>97.3</v>
      </c>
    </row>
    <row r="319">
      <c r="A319" s="13" t="s">
        <v>317</v>
      </c>
      <c r="B319" s="14">
        <v>8.0</v>
      </c>
      <c r="C319" s="14">
        <v>5.85</v>
      </c>
      <c r="D319" s="14">
        <v>125.2</v>
      </c>
    </row>
    <row r="320">
      <c r="A320" s="13" t="s">
        <v>318</v>
      </c>
      <c r="B320" s="14">
        <v>3.0</v>
      </c>
      <c r="C320" s="14">
        <v>3.03</v>
      </c>
      <c r="D320" s="14">
        <v>156.1</v>
      </c>
    </row>
    <row r="321">
      <c r="A321" s="13" t="s">
        <v>319</v>
      </c>
      <c r="B321" s="14">
        <v>5.0</v>
      </c>
      <c r="C321" s="14">
        <v>4.21</v>
      </c>
      <c r="D321" s="14">
        <v>129.5</v>
      </c>
    </row>
    <row r="322">
      <c r="A322" s="13" t="s">
        <v>320</v>
      </c>
      <c r="B322" s="14">
        <v>3.0</v>
      </c>
      <c r="C322" s="14">
        <v>17.99</v>
      </c>
      <c r="D322" s="14">
        <v>118.6</v>
      </c>
    </row>
    <row r="323">
      <c r="A323" s="13" t="s">
        <v>321</v>
      </c>
      <c r="B323" s="14">
        <v>5.0</v>
      </c>
      <c r="C323" s="14">
        <v>27.41</v>
      </c>
      <c r="D323" s="14">
        <v>95.1</v>
      </c>
    </row>
    <row r="324">
      <c r="A324" s="13" t="s">
        <v>322</v>
      </c>
      <c r="B324" s="14">
        <v>1.0</v>
      </c>
      <c r="C324" s="14">
        <v>2.05</v>
      </c>
      <c r="D324" s="14">
        <v>152.9</v>
      </c>
    </row>
    <row r="325">
      <c r="A325" s="13" t="s">
        <v>323</v>
      </c>
      <c r="B325" s="14">
        <v>7.0</v>
      </c>
      <c r="C325" s="14">
        <v>4.66</v>
      </c>
      <c r="D325" s="14">
        <v>133.0</v>
      </c>
    </row>
    <row r="326">
      <c r="A326" s="13" t="s">
        <v>324</v>
      </c>
      <c r="B326" s="14">
        <v>2.0</v>
      </c>
      <c r="C326" s="14">
        <v>26.4</v>
      </c>
      <c r="D326" s="14">
        <v>98.8</v>
      </c>
    </row>
    <row r="327">
      <c r="A327" s="13" t="s">
        <v>325</v>
      </c>
      <c r="B327" s="14">
        <v>4.0</v>
      </c>
      <c r="C327" s="14">
        <v>0.64</v>
      </c>
      <c r="D327" s="14">
        <v>147.0</v>
      </c>
    </row>
    <row r="328">
      <c r="A328" s="13" t="s">
        <v>326</v>
      </c>
      <c r="B328" s="14">
        <v>6.0</v>
      </c>
      <c r="C328" s="14">
        <v>0.97</v>
      </c>
      <c r="D328" s="14">
        <v>136.8</v>
      </c>
    </row>
    <row r="329">
      <c r="A329" s="13" t="s">
        <v>327</v>
      </c>
      <c r="B329" s="14">
        <v>7.0</v>
      </c>
      <c r="C329" s="14">
        <v>1.78</v>
      </c>
      <c r="D329" s="14">
        <v>95.6</v>
      </c>
    </row>
    <row r="330">
      <c r="A330" s="13" t="s">
        <v>328</v>
      </c>
      <c r="B330" s="14">
        <v>9.0</v>
      </c>
      <c r="C330" s="14">
        <v>9.04</v>
      </c>
      <c r="D330" s="14">
        <v>117.0</v>
      </c>
    </row>
    <row r="331">
      <c r="A331" s="13" t="s">
        <v>329</v>
      </c>
      <c r="B331" s="14">
        <v>4.0</v>
      </c>
      <c r="C331" s="14">
        <v>1.63</v>
      </c>
      <c r="D331" s="14">
        <v>105.2</v>
      </c>
    </row>
    <row r="332">
      <c r="A332" s="13" t="s">
        <v>330</v>
      </c>
      <c r="B332" s="14">
        <v>1.0</v>
      </c>
      <c r="C332" s="14">
        <v>34.44</v>
      </c>
      <c r="D332" s="14">
        <v>199.0</v>
      </c>
    </row>
    <row r="333">
      <c r="A333" s="13" t="s">
        <v>331</v>
      </c>
      <c r="B333" s="14">
        <v>4.0</v>
      </c>
      <c r="C333" s="14">
        <v>5.92</v>
      </c>
      <c r="D333" s="14">
        <v>136.0</v>
      </c>
    </row>
    <row r="334">
      <c r="A334" s="13" t="s">
        <v>332</v>
      </c>
      <c r="B334" s="14">
        <v>6.0</v>
      </c>
      <c r="C334" s="14">
        <v>6.96</v>
      </c>
      <c r="D334" s="14">
        <v>125.6</v>
      </c>
    </row>
    <row r="335">
      <c r="A335" s="13" t="s">
        <v>333</v>
      </c>
      <c r="B335" s="14">
        <v>3.0</v>
      </c>
      <c r="C335" s="14">
        <v>2.83</v>
      </c>
      <c r="D335" s="14">
        <v>134.2</v>
      </c>
    </row>
    <row r="336">
      <c r="A336" s="13" t="s">
        <v>334</v>
      </c>
      <c r="B336" s="14">
        <v>4.0</v>
      </c>
      <c r="C336" s="14">
        <v>6.37</v>
      </c>
      <c r="D336" s="14">
        <v>161.4</v>
      </c>
    </row>
    <row r="337">
      <c r="A337" s="13" t="s">
        <v>335</v>
      </c>
      <c r="B337" s="14">
        <v>2.0</v>
      </c>
      <c r="C337" s="14">
        <v>10.84</v>
      </c>
      <c r="D337" s="14">
        <v>117.5</v>
      </c>
    </row>
    <row r="338">
      <c r="A338" s="13" t="s">
        <v>336</v>
      </c>
      <c r="B338" s="14">
        <v>6.0</v>
      </c>
      <c r="C338" s="14">
        <v>13.91</v>
      </c>
      <c r="D338" s="14">
        <v>102.3</v>
      </c>
    </row>
    <row r="339">
      <c r="A339" s="13" t="s">
        <v>337</v>
      </c>
      <c r="B339" s="14">
        <v>8.0</v>
      </c>
      <c r="C339" s="14">
        <v>14.02</v>
      </c>
      <c r="D339" s="14">
        <v>145.3</v>
      </c>
    </row>
    <row r="340">
      <c r="A340" s="13" t="s">
        <v>338</v>
      </c>
      <c r="B340" s="14">
        <v>7.0</v>
      </c>
      <c r="C340" s="14">
        <v>8.62</v>
      </c>
      <c r="D340" s="14">
        <v>114.8</v>
      </c>
    </row>
    <row r="341">
      <c r="A341" s="13" t="s">
        <v>339</v>
      </c>
      <c r="B341" s="14">
        <v>2.0</v>
      </c>
      <c r="C341" s="14">
        <v>23.47</v>
      </c>
      <c r="D341" s="14">
        <v>87.9</v>
      </c>
    </row>
    <row r="342">
      <c r="A342" s="13" t="s">
        <v>340</v>
      </c>
      <c r="B342" s="14">
        <v>6.0</v>
      </c>
      <c r="C342" s="14">
        <v>17.01</v>
      </c>
      <c r="D342" s="14">
        <v>82.1</v>
      </c>
    </row>
    <row r="343">
      <c r="A343" s="13" t="s">
        <v>341</v>
      </c>
      <c r="B343" s="14">
        <v>9.0</v>
      </c>
      <c r="C343" s="14">
        <v>14.15</v>
      </c>
      <c r="D343" s="14">
        <v>165.9</v>
      </c>
    </row>
    <row r="344">
      <c r="A344" s="13" t="s">
        <v>342</v>
      </c>
      <c r="B344" s="14">
        <v>3.0</v>
      </c>
      <c r="C344" s="14">
        <v>0.57</v>
      </c>
      <c r="D344" s="14">
        <v>123.9</v>
      </c>
    </row>
    <row r="345">
      <c r="A345" s="13" t="s">
        <v>343</v>
      </c>
      <c r="B345" s="14">
        <v>8.0</v>
      </c>
      <c r="C345" s="14">
        <v>0.07</v>
      </c>
      <c r="D345" s="14">
        <v>102.3</v>
      </c>
    </row>
    <row r="346">
      <c r="A346" s="13" t="s">
        <v>344</v>
      </c>
      <c r="B346" s="14">
        <v>7.0</v>
      </c>
      <c r="C346" s="14">
        <v>2.39</v>
      </c>
      <c r="D346" s="14">
        <v>113.0</v>
      </c>
    </row>
    <row r="347">
      <c r="A347" s="13" t="s">
        <v>345</v>
      </c>
      <c r="B347" s="14">
        <v>6.0</v>
      </c>
      <c r="C347" s="14">
        <v>10.89</v>
      </c>
      <c r="D347" s="14">
        <v>144.2</v>
      </c>
    </row>
    <row r="348">
      <c r="A348" s="13" t="s">
        <v>346</v>
      </c>
      <c r="B348" s="14">
        <v>10.0</v>
      </c>
      <c r="C348" s="14">
        <v>5.3</v>
      </c>
      <c r="D348" s="14">
        <v>111.2</v>
      </c>
    </row>
    <row r="349">
      <c r="A349" s="13" t="s">
        <v>347</v>
      </c>
      <c r="B349" s="14">
        <v>5.0</v>
      </c>
      <c r="C349" s="14">
        <v>5.15</v>
      </c>
      <c r="D349" s="14">
        <v>76.5</v>
      </c>
    </row>
    <row r="350">
      <c r="A350" s="13" t="s">
        <v>348</v>
      </c>
      <c r="B350" s="14">
        <v>5.0</v>
      </c>
      <c r="C350" s="14">
        <v>21.59</v>
      </c>
      <c r="D350" s="14">
        <v>129.8</v>
      </c>
    </row>
    <row r="351">
      <c r="A351" s="13" t="s">
        <v>349</v>
      </c>
      <c r="B351" s="14">
        <v>5.0</v>
      </c>
      <c r="C351" s="14">
        <v>22.59</v>
      </c>
      <c r="D351" s="14">
        <v>156.3</v>
      </c>
    </row>
    <row r="352">
      <c r="A352" s="13" t="s">
        <v>350</v>
      </c>
      <c r="B352" s="14">
        <v>5.0</v>
      </c>
      <c r="C352" s="14">
        <v>23.99</v>
      </c>
      <c r="D352" s="14">
        <v>154.2</v>
      </c>
    </row>
    <row r="353">
      <c r="A353" s="13" t="s">
        <v>351</v>
      </c>
      <c r="B353" s="14">
        <v>4.0</v>
      </c>
      <c r="C353" s="14">
        <v>3.77</v>
      </c>
      <c r="D353" s="14">
        <v>103.2</v>
      </c>
    </row>
    <row r="354">
      <c r="A354" s="13" t="s">
        <v>352</v>
      </c>
      <c r="B354" s="14">
        <v>10.0</v>
      </c>
      <c r="C354" s="14">
        <v>11.75</v>
      </c>
      <c r="D354" s="14">
        <v>158.1</v>
      </c>
    </row>
    <row r="355">
      <c r="A355" s="13" t="s">
        <v>353</v>
      </c>
      <c r="B355" s="14">
        <v>3.0</v>
      </c>
      <c r="C355" s="14">
        <v>3.17</v>
      </c>
      <c r="D355" s="14">
        <v>126.4</v>
      </c>
    </row>
    <row r="356">
      <c r="A356" s="13" t="s">
        <v>354</v>
      </c>
      <c r="B356" s="14">
        <v>2.0</v>
      </c>
      <c r="C356" s="14">
        <v>2.11</v>
      </c>
      <c r="D356" s="14">
        <v>157.2</v>
      </c>
    </row>
    <row r="357">
      <c r="A357" s="13" t="s">
        <v>355</v>
      </c>
      <c r="B357" s="14">
        <v>6.0</v>
      </c>
      <c r="C357" s="14">
        <v>2.04</v>
      </c>
      <c r="D357" s="14">
        <v>137.2</v>
      </c>
    </row>
    <row r="358">
      <c r="A358" s="13" t="s">
        <v>356</v>
      </c>
      <c r="B358" s="14">
        <v>4.0</v>
      </c>
      <c r="C358" s="14">
        <v>4.19</v>
      </c>
      <c r="D358" s="14">
        <v>74.4</v>
      </c>
    </row>
    <row r="359">
      <c r="A359" s="13" t="s">
        <v>357</v>
      </c>
      <c r="B359" s="14">
        <v>4.0</v>
      </c>
      <c r="C359" s="14">
        <v>5.62</v>
      </c>
      <c r="D359" s="14">
        <v>172.4</v>
      </c>
    </row>
    <row r="360">
      <c r="A360" s="13" t="s">
        <v>358</v>
      </c>
      <c r="B360" s="14">
        <v>8.0</v>
      </c>
      <c r="C360" s="14">
        <v>17.78</v>
      </c>
      <c r="D360" s="14">
        <v>121.6</v>
      </c>
    </row>
    <row r="361">
      <c r="A361" s="13" t="s">
        <v>359</v>
      </c>
      <c r="B361" s="14">
        <v>5.0</v>
      </c>
      <c r="C361" s="14">
        <v>1.28</v>
      </c>
      <c r="D361" s="14">
        <v>137.3</v>
      </c>
    </row>
    <row r="362">
      <c r="A362" s="13" t="s">
        <v>360</v>
      </c>
      <c r="B362" s="14">
        <v>4.0</v>
      </c>
      <c r="C362" s="14">
        <v>13.28</v>
      </c>
      <c r="D362" s="14">
        <v>79.7</v>
      </c>
    </row>
    <row r="363">
      <c r="A363" s="13" t="s">
        <v>361</v>
      </c>
      <c r="B363" s="14">
        <v>7.0</v>
      </c>
      <c r="C363" s="14">
        <v>7.58</v>
      </c>
      <c r="D363" s="14">
        <v>135.2</v>
      </c>
    </row>
    <row r="364">
      <c r="A364" s="13" t="s">
        <v>362</v>
      </c>
      <c r="B364" s="14">
        <v>4.0</v>
      </c>
      <c r="C364" s="14">
        <v>3.4</v>
      </c>
      <c r="D364" s="14">
        <v>153.1</v>
      </c>
    </row>
    <row r="365">
      <c r="A365" s="13" t="s">
        <v>363</v>
      </c>
      <c r="B365" s="14">
        <v>2.0</v>
      </c>
      <c r="C365" s="14">
        <v>6.79</v>
      </c>
      <c r="D365" s="14">
        <v>178.1</v>
      </c>
    </row>
    <row r="366">
      <c r="A366" s="13" t="s">
        <v>364</v>
      </c>
      <c r="B366" s="14">
        <v>2.0</v>
      </c>
      <c r="C366" s="14">
        <v>3.57</v>
      </c>
      <c r="D366" s="14">
        <v>162.0</v>
      </c>
    </row>
    <row r="367">
      <c r="A367" s="13" t="s">
        <v>365</v>
      </c>
      <c r="B367" s="14">
        <v>3.0</v>
      </c>
      <c r="C367" s="14">
        <v>9.07</v>
      </c>
      <c r="D367" s="14">
        <v>136.6</v>
      </c>
    </row>
    <row r="368">
      <c r="A368" s="13" t="s">
        <v>366</v>
      </c>
      <c r="B368" s="14">
        <v>3.0</v>
      </c>
      <c r="C368" s="14">
        <v>5.69</v>
      </c>
      <c r="D368" s="14">
        <v>73.7</v>
      </c>
    </row>
    <row r="369">
      <c r="A369" s="13" t="s">
        <v>367</v>
      </c>
      <c r="B369" s="14">
        <v>8.0</v>
      </c>
      <c r="C369" s="14">
        <v>1.8</v>
      </c>
      <c r="D369" s="14">
        <v>124.0</v>
      </c>
    </row>
    <row r="370">
      <c r="A370" s="13" t="s">
        <v>368</v>
      </c>
      <c r="B370" s="14">
        <v>6.0</v>
      </c>
      <c r="C370" s="14">
        <v>1.24</v>
      </c>
      <c r="D370" s="14">
        <v>102.2</v>
      </c>
    </row>
    <row r="371">
      <c r="A371" s="13" t="s">
        <v>369</v>
      </c>
      <c r="B371" s="14">
        <v>0.0</v>
      </c>
      <c r="C371" s="14">
        <v>7.91</v>
      </c>
      <c r="D371" s="14">
        <v>127.0</v>
      </c>
    </row>
    <row r="372">
      <c r="A372" s="13" t="s">
        <v>370</v>
      </c>
      <c r="B372" s="14">
        <v>8.0</v>
      </c>
      <c r="C372" s="14">
        <v>23.27</v>
      </c>
      <c r="D372" s="14">
        <v>83.5</v>
      </c>
    </row>
    <row r="373">
      <c r="A373" s="13" t="s">
        <v>371</v>
      </c>
      <c r="B373" s="14">
        <v>5.0</v>
      </c>
      <c r="C373" s="14">
        <v>4.22</v>
      </c>
      <c r="D373" s="14">
        <v>113.7</v>
      </c>
    </row>
    <row r="374">
      <c r="A374" s="13" t="s">
        <v>372</v>
      </c>
      <c r="B374" s="14">
        <v>4.0</v>
      </c>
      <c r="C374" s="14">
        <v>13.21</v>
      </c>
      <c r="D374" s="14">
        <v>104.5</v>
      </c>
    </row>
    <row r="375">
      <c r="A375" s="13" t="s">
        <v>373</v>
      </c>
      <c r="B375" s="14">
        <v>5.0</v>
      </c>
      <c r="C375" s="14">
        <v>10.75</v>
      </c>
      <c r="D375" s="14">
        <v>103.6</v>
      </c>
    </row>
    <row r="376">
      <c r="A376" s="13" t="s">
        <v>374</v>
      </c>
      <c r="B376" s="14">
        <v>7.0</v>
      </c>
      <c r="C376" s="14">
        <v>26.82</v>
      </c>
      <c r="D376" s="14">
        <v>103.9</v>
      </c>
    </row>
    <row r="377">
      <c r="A377" s="13" t="s">
        <v>375</v>
      </c>
      <c r="B377" s="14">
        <v>6.0</v>
      </c>
      <c r="C377" s="14">
        <v>17.2</v>
      </c>
      <c r="D377" s="14">
        <v>115.9</v>
      </c>
    </row>
    <row r="378">
      <c r="A378" s="13" t="s">
        <v>376</v>
      </c>
      <c r="B378" s="14">
        <v>3.0</v>
      </c>
      <c r="C378" s="14">
        <v>8.36</v>
      </c>
      <c r="D378" s="14">
        <v>128.6</v>
      </c>
    </row>
    <row r="379">
      <c r="A379" s="13" t="s">
        <v>377</v>
      </c>
      <c r="B379" s="14">
        <v>4.0</v>
      </c>
      <c r="C379" s="14">
        <v>10.7</v>
      </c>
      <c r="D379" s="14">
        <v>45.0</v>
      </c>
    </row>
    <row r="380">
      <c r="A380" s="13" t="s">
        <v>378</v>
      </c>
      <c r="B380" s="14">
        <v>2.0</v>
      </c>
      <c r="C380" s="14">
        <v>22.87</v>
      </c>
      <c r="D380" s="14">
        <v>48.7</v>
      </c>
    </row>
    <row r="381">
      <c r="A381" s="13">
        <v>3.0219571E7</v>
      </c>
      <c r="B381" s="14">
        <v>4.0</v>
      </c>
      <c r="C381" s="14">
        <v>5.1</v>
      </c>
      <c r="D381" s="14">
        <v>109.8</v>
      </c>
    </row>
    <row r="382">
      <c r="A382" s="13" t="s">
        <v>379</v>
      </c>
      <c r="B382" s="14">
        <v>1.0</v>
      </c>
      <c r="C382" s="14">
        <v>3.96</v>
      </c>
      <c r="D382" s="14">
        <v>114.1</v>
      </c>
    </row>
    <row r="383">
      <c r="A383" s="13" t="s">
        <v>380</v>
      </c>
      <c r="B383" s="14">
        <v>9.0</v>
      </c>
      <c r="C383" s="14">
        <v>0.11</v>
      </c>
      <c r="D383" s="14">
        <v>125.7</v>
      </c>
    </row>
    <row r="384">
      <c r="A384" s="13" t="s">
        <v>381</v>
      </c>
      <c r="B384" s="14">
        <v>3.0</v>
      </c>
      <c r="C384" s="14">
        <v>17.52</v>
      </c>
      <c r="D384" s="14">
        <v>98.2</v>
      </c>
    </row>
    <row r="385">
      <c r="A385" s="13" t="s">
        <v>382</v>
      </c>
      <c r="B385" s="14">
        <v>1.0</v>
      </c>
      <c r="C385" s="14">
        <v>16.14</v>
      </c>
      <c r="D385" s="14">
        <v>120.3</v>
      </c>
    </row>
    <row r="386">
      <c r="A386" s="13" t="s">
        <v>383</v>
      </c>
      <c r="B386" s="14">
        <v>5.0</v>
      </c>
      <c r="C386" s="14">
        <v>1.1</v>
      </c>
      <c r="D386" s="14">
        <v>123.8</v>
      </c>
    </row>
    <row r="387">
      <c r="A387" s="13" t="s">
        <v>384</v>
      </c>
      <c r="B387" s="14">
        <v>4.0</v>
      </c>
      <c r="C387" s="14">
        <v>8.6</v>
      </c>
      <c r="D387" s="14">
        <v>98.0</v>
      </c>
    </row>
    <row r="388">
      <c r="A388" s="13" t="s">
        <v>385</v>
      </c>
      <c r="B388" s="14">
        <v>6.0</v>
      </c>
      <c r="C388" s="14">
        <v>6.24</v>
      </c>
      <c r="D388" s="14">
        <v>150.4</v>
      </c>
    </row>
    <row r="389">
      <c r="A389" s="13" t="s">
        <v>386</v>
      </c>
      <c r="B389" s="14">
        <v>5.0</v>
      </c>
      <c r="C389" s="14">
        <v>1.26</v>
      </c>
      <c r="D389" s="14">
        <v>125.3</v>
      </c>
    </row>
    <row r="390">
      <c r="A390" s="13" t="s">
        <v>387</v>
      </c>
      <c r="B390" s="14">
        <v>8.0</v>
      </c>
      <c r="C390" s="14">
        <v>39.41</v>
      </c>
      <c r="D390" s="14">
        <v>136.4</v>
      </c>
    </row>
    <row r="391">
      <c r="A391" s="24">
        <v>2.06458E8</v>
      </c>
      <c r="B391" s="14">
        <v>5.0</v>
      </c>
      <c r="C391" s="14">
        <v>2.42</v>
      </c>
      <c r="D391" s="14">
        <v>122.1</v>
      </c>
    </row>
    <row r="392">
      <c r="A392" s="13" t="s">
        <v>388</v>
      </c>
      <c r="B392" s="14">
        <v>7.0</v>
      </c>
      <c r="C392" s="14">
        <v>0.7</v>
      </c>
      <c r="D392" s="14">
        <v>183.1</v>
      </c>
    </row>
    <row r="393">
      <c r="A393" s="13" t="s">
        <v>389</v>
      </c>
      <c r="B393" s="14">
        <v>4.0</v>
      </c>
      <c r="C393" s="14">
        <v>9.03</v>
      </c>
      <c r="D393" s="14">
        <v>137.9</v>
      </c>
    </row>
    <row r="394">
      <c r="A394" s="13" t="s">
        <v>390</v>
      </c>
      <c r="B394" s="14">
        <v>1.0</v>
      </c>
      <c r="C394" s="14">
        <v>13.43</v>
      </c>
      <c r="D394" s="14">
        <v>105.4</v>
      </c>
    </row>
    <row r="395">
      <c r="A395" s="13" t="s">
        <v>391</v>
      </c>
      <c r="B395" s="14">
        <v>5.0</v>
      </c>
      <c r="C395" s="14">
        <v>0.33</v>
      </c>
      <c r="D395" s="14">
        <v>144.6</v>
      </c>
    </row>
    <row r="396">
      <c r="A396" s="13" t="s">
        <v>392</v>
      </c>
      <c r="B396" s="14">
        <v>4.0</v>
      </c>
      <c r="C396" s="14">
        <v>10.75</v>
      </c>
      <c r="D396" s="14">
        <v>70.9</v>
      </c>
    </row>
    <row r="397">
      <c r="A397" s="13" t="s">
        <v>393</v>
      </c>
      <c r="B397" s="14">
        <v>3.0</v>
      </c>
      <c r="C397" s="14">
        <v>7.6</v>
      </c>
      <c r="D397" s="14">
        <v>123.6</v>
      </c>
    </row>
    <row r="398">
      <c r="A398" s="13" t="s">
        <v>394</v>
      </c>
      <c r="B398" s="14">
        <v>2.0</v>
      </c>
      <c r="C398" s="14">
        <v>1.09</v>
      </c>
      <c r="D398" s="14">
        <v>129.6</v>
      </c>
    </row>
    <row r="399">
      <c r="A399" s="13" t="s">
        <v>395</v>
      </c>
      <c r="B399" s="14">
        <v>12.0</v>
      </c>
      <c r="C399" s="14">
        <v>1.89</v>
      </c>
      <c r="D399" s="14">
        <v>123.9</v>
      </c>
    </row>
    <row r="400">
      <c r="A400" s="13" t="s">
        <v>396</v>
      </c>
      <c r="B400" s="14">
        <v>5.0</v>
      </c>
      <c r="C400" s="14">
        <v>8.39</v>
      </c>
      <c r="D400" s="14">
        <v>110.0</v>
      </c>
    </row>
    <row r="401">
      <c r="A401" s="13" t="s">
        <v>397</v>
      </c>
      <c r="B401" s="14">
        <v>10.0</v>
      </c>
      <c r="C401" s="14">
        <v>3.51</v>
      </c>
      <c r="D401" s="14">
        <v>89.6</v>
      </c>
    </row>
    <row r="402">
      <c r="A402" s="13" t="s">
        <v>398</v>
      </c>
      <c r="B402" s="14">
        <v>6.0</v>
      </c>
      <c r="C402" s="14">
        <v>27.86</v>
      </c>
      <c r="D402" s="14">
        <v>96.3</v>
      </c>
    </row>
    <row r="403">
      <c r="A403" s="13" t="s">
        <v>399</v>
      </c>
      <c r="B403" s="14">
        <v>1.0</v>
      </c>
      <c r="C403" s="14">
        <v>17.08</v>
      </c>
      <c r="D403" s="14">
        <v>123.1</v>
      </c>
    </row>
    <row r="404">
      <c r="A404" s="13" t="s">
        <v>400</v>
      </c>
      <c r="B404" s="14">
        <v>6.0</v>
      </c>
      <c r="C404" s="14">
        <v>41.08</v>
      </c>
      <c r="D404" s="14">
        <v>86.6</v>
      </c>
    </row>
    <row r="405">
      <c r="A405" s="13" t="s">
        <v>401</v>
      </c>
      <c r="B405" s="14">
        <v>2.0</v>
      </c>
      <c r="C405" s="14">
        <v>3.01</v>
      </c>
      <c r="D405" s="14">
        <v>173.1</v>
      </c>
    </row>
    <row r="406">
      <c r="A406" s="13" t="s">
        <v>402</v>
      </c>
      <c r="B406" s="14">
        <v>4.0</v>
      </c>
      <c r="C406" s="14">
        <v>34.97</v>
      </c>
      <c r="D406" s="14">
        <v>40.8</v>
      </c>
    </row>
    <row r="407">
      <c r="A407" s="13" t="s">
        <v>403</v>
      </c>
      <c r="B407" s="14">
        <v>5.0</v>
      </c>
      <c r="C407" s="14">
        <v>5.64</v>
      </c>
      <c r="D407" s="14">
        <v>110.3</v>
      </c>
    </row>
    <row r="408">
      <c r="A408" s="13" t="s">
        <v>404</v>
      </c>
      <c r="B408" s="14">
        <v>8.0</v>
      </c>
      <c r="C408" s="14">
        <v>4.27</v>
      </c>
      <c r="D408" s="14">
        <v>123.3</v>
      </c>
    </row>
    <row r="409">
      <c r="A409" s="24">
        <v>4.0179E33</v>
      </c>
      <c r="B409" s="14">
        <v>4.0</v>
      </c>
      <c r="C409" s="14">
        <v>0.52</v>
      </c>
      <c r="D409" s="14">
        <v>135.2</v>
      </c>
    </row>
    <row r="410">
      <c r="A410" s="13" t="s">
        <v>405</v>
      </c>
      <c r="B410" s="14">
        <v>2.0</v>
      </c>
      <c r="C410" s="14">
        <v>0.54</v>
      </c>
      <c r="D410" s="14">
        <v>92.5</v>
      </c>
    </row>
    <row r="411">
      <c r="A411" s="13" t="s">
        <v>406</v>
      </c>
      <c r="B411" s="14">
        <v>1.0</v>
      </c>
      <c r="C411" s="14">
        <v>11.78</v>
      </c>
      <c r="D411" s="14">
        <v>154.0</v>
      </c>
    </row>
    <row r="412">
      <c r="A412" s="13" t="s">
        <v>407</v>
      </c>
      <c r="B412" s="14">
        <v>8.0</v>
      </c>
      <c r="C412" s="14">
        <v>6.12</v>
      </c>
      <c r="D412" s="14">
        <v>78.2</v>
      </c>
    </row>
    <row r="413">
      <c r="A413" s="13" t="s">
        <v>408</v>
      </c>
      <c r="B413" s="14">
        <v>8.0</v>
      </c>
      <c r="C413" s="14">
        <v>2.57</v>
      </c>
      <c r="D413" s="14">
        <v>103.0</v>
      </c>
    </row>
    <row r="414">
      <c r="A414" s="13" t="s">
        <v>409</v>
      </c>
      <c r="B414" s="14">
        <v>4.0</v>
      </c>
      <c r="C414" s="14">
        <v>9.52</v>
      </c>
      <c r="D414" s="14">
        <v>138.6</v>
      </c>
    </row>
    <row r="415">
      <c r="A415" s="13" t="s">
        <v>410</v>
      </c>
      <c r="B415" s="14">
        <v>1.0</v>
      </c>
      <c r="C415" s="14">
        <v>2.92</v>
      </c>
      <c r="D415" s="14">
        <v>151.2</v>
      </c>
    </row>
    <row r="416">
      <c r="A416" s="13" t="s">
        <v>411</v>
      </c>
      <c r="B416" s="14">
        <v>9.0</v>
      </c>
      <c r="C416" s="14">
        <v>8.62</v>
      </c>
      <c r="D416" s="14">
        <v>77.9</v>
      </c>
    </row>
    <row r="417">
      <c r="A417" s="13" t="s">
        <v>412</v>
      </c>
      <c r="B417" s="14">
        <v>4.0</v>
      </c>
      <c r="C417" s="14">
        <v>4.45</v>
      </c>
      <c r="D417" s="14">
        <v>199.4</v>
      </c>
    </row>
    <row r="418">
      <c r="A418" s="13" t="s">
        <v>413</v>
      </c>
      <c r="B418" s="14">
        <v>2.0</v>
      </c>
      <c r="C418" s="14">
        <v>17.35</v>
      </c>
      <c r="D418" s="14">
        <v>93.1</v>
      </c>
    </row>
    <row r="419">
      <c r="A419" s="13" t="s">
        <v>414</v>
      </c>
      <c r="B419" s="14">
        <v>4.0</v>
      </c>
      <c r="C419" s="14">
        <v>17.19</v>
      </c>
      <c r="D419" s="14">
        <v>80.6</v>
      </c>
    </row>
    <row r="420">
      <c r="A420" s="13" t="s">
        <v>415</v>
      </c>
      <c r="B420" s="14">
        <v>3.0</v>
      </c>
      <c r="C420" s="14">
        <v>6.49</v>
      </c>
      <c r="D420" s="14">
        <v>135.1</v>
      </c>
    </row>
    <row r="421">
      <c r="A421" s="13" t="s">
        <v>416</v>
      </c>
      <c r="B421" s="14">
        <v>8.0</v>
      </c>
      <c r="C421" s="14">
        <v>4.32</v>
      </c>
      <c r="D421" s="14">
        <v>109.6</v>
      </c>
    </row>
    <row r="422">
      <c r="A422" s="13" t="s">
        <v>417</v>
      </c>
      <c r="B422" s="14">
        <v>9.0</v>
      </c>
      <c r="C422" s="14">
        <v>4.5</v>
      </c>
      <c r="D422" s="14">
        <v>105.1</v>
      </c>
    </row>
    <row r="423">
      <c r="A423" s="13" t="s">
        <v>418</v>
      </c>
      <c r="B423" s="14">
        <v>4.0</v>
      </c>
      <c r="C423" s="14">
        <v>16.38</v>
      </c>
      <c r="D423" s="14">
        <v>137.9</v>
      </c>
    </row>
    <row r="424">
      <c r="A424" s="13" t="s">
        <v>419</v>
      </c>
      <c r="B424" s="14">
        <v>4.0</v>
      </c>
      <c r="C424" s="14">
        <v>3.98</v>
      </c>
      <c r="D424" s="14">
        <v>74.2</v>
      </c>
    </row>
    <row r="425">
      <c r="A425" s="13" t="s">
        <v>420</v>
      </c>
      <c r="B425" s="14">
        <v>5.0</v>
      </c>
      <c r="C425" s="14">
        <v>2.35</v>
      </c>
      <c r="D425" s="14">
        <v>68.9</v>
      </c>
    </row>
    <row r="426">
      <c r="A426" s="13" t="s">
        <v>421</v>
      </c>
      <c r="B426" s="14">
        <v>11.0</v>
      </c>
      <c r="C426" s="14">
        <v>0.88</v>
      </c>
      <c r="D426" s="14">
        <v>102.1</v>
      </c>
    </row>
    <row r="427">
      <c r="A427" s="13" t="s">
        <v>422</v>
      </c>
      <c r="B427" s="14">
        <v>8.0</v>
      </c>
      <c r="C427" s="14">
        <v>6.29</v>
      </c>
      <c r="D427" s="14">
        <v>152.3</v>
      </c>
    </row>
    <row r="428">
      <c r="A428" s="13" t="s">
        <v>423</v>
      </c>
      <c r="B428" s="14">
        <v>6.0</v>
      </c>
      <c r="C428" s="14">
        <v>6.58</v>
      </c>
      <c r="D428" s="14">
        <v>103.4</v>
      </c>
    </row>
    <row r="429">
      <c r="A429" s="13" t="s">
        <v>424</v>
      </c>
      <c r="B429" s="14">
        <v>2.0</v>
      </c>
      <c r="C429" s="14">
        <v>18.38</v>
      </c>
      <c r="D429" s="14">
        <v>168.0</v>
      </c>
    </row>
    <row r="430">
      <c r="A430" s="13" t="s">
        <v>425</v>
      </c>
      <c r="B430" s="14">
        <v>8.0</v>
      </c>
      <c r="C430" s="14">
        <v>2.5</v>
      </c>
      <c r="D430" s="14">
        <v>156.0</v>
      </c>
    </row>
    <row r="431">
      <c r="A431" s="13" t="s">
        <v>426</v>
      </c>
      <c r="B431" s="14">
        <v>7.0</v>
      </c>
      <c r="C431" s="14">
        <v>4.8</v>
      </c>
      <c r="D431" s="14">
        <v>128.5</v>
      </c>
    </row>
    <row r="432">
      <c r="A432" s="13" t="s">
        <v>427</v>
      </c>
      <c r="B432" s="14">
        <v>6.0</v>
      </c>
      <c r="C432" s="14">
        <v>16.52</v>
      </c>
      <c r="D432" s="14">
        <v>130.2</v>
      </c>
    </row>
    <row r="433">
      <c r="A433" s="13" t="s">
        <v>428</v>
      </c>
      <c r="B433" s="14">
        <v>5.0</v>
      </c>
      <c r="C433" s="14">
        <v>17.35</v>
      </c>
      <c r="D433" s="14">
        <v>128.5</v>
      </c>
    </row>
    <row r="434">
      <c r="A434" s="13" t="s">
        <v>429</v>
      </c>
      <c r="B434" s="14">
        <v>3.0</v>
      </c>
      <c r="C434" s="14">
        <v>4.86</v>
      </c>
      <c r="D434" s="14">
        <v>124.8</v>
      </c>
    </row>
    <row r="435">
      <c r="A435" s="13" t="s">
        <v>430</v>
      </c>
      <c r="B435" s="14">
        <v>5.0</v>
      </c>
      <c r="C435" s="14">
        <v>6.15</v>
      </c>
      <c r="D435" s="14">
        <v>109.0</v>
      </c>
    </row>
    <row r="436">
      <c r="A436" s="13" t="s">
        <v>431</v>
      </c>
      <c r="B436" s="14">
        <v>3.0</v>
      </c>
      <c r="C436" s="14">
        <v>3.61</v>
      </c>
      <c r="D436" s="14">
        <v>112.5</v>
      </c>
    </row>
    <row r="437">
      <c r="A437" s="13">
        <v>8.3686047E7</v>
      </c>
      <c r="B437" s="14">
        <v>3.0</v>
      </c>
      <c r="C437" s="14">
        <v>26.96</v>
      </c>
      <c r="D437" s="14">
        <v>87.9</v>
      </c>
    </row>
    <row r="438">
      <c r="A438" s="13" t="s">
        <v>432</v>
      </c>
      <c r="B438" s="14">
        <v>7.0</v>
      </c>
      <c r="C438" s="14">
        <v>1.26</v>
      </c>
      <c r="D438" s="14">
        <v>53.7</v>
      </c>
    </row>
    <row r="439">
      <c r="A439" s="13" t="s">
        <v>433</v>
      </c>
      <c r="B439" s="14">
        <v>4.0</v>
      </c>
      <c r="C439" s="14">
        <v>27.14</v>
      </c>
      <c r="D439" s="14">
        <v>153.1</v>
      </c>
    </row>
    <row r="440">
      <c r="A440" s="13" t="s">
        <v>434</v>
      </c>
      <c r="B440" s="14">
        <v>4.0</v>
      </c>
      <c r="C440" s="14">
        <v>11.52</v>
      </c>
      <c r="D440" s="14">
        <v>124.7</v>
      </c>
    </row>
    <row r="441">
      <c r="A441" s="13">
        <v>7251235.0</v>
      </c>
      <c r="B441" s="14">
        <v>6.0</v>
      </c>
      <c r="C441" s="14">
        <v>7.58</v>
      </c>
      <c r="D441" s="14">
        <v>120.2</v>
      </c>
    </row>
    <row r="442">
      <c r="A442" s="13" t="s">
        <v>435</v>
      </c>
      <c r="B442" s="14">
        <v>6.0</v>
      </c>
      <c r="C442" s="14">
        <v>0.33</v>
      </c>
      <c r="D442" s="14">
        <v>132.0</v>
      </c>
    </row>
    <row r="443">
      <c r="A443" s="13" t="s">
        <v>436</v>
      </c>
      <c r="B443" s="14">
        <v>3.0</v>
      </c>
      <c r="C443" s="14">
        <v>6.45</v>
      </c>
      <c r="D443" s="14">
        <v>95.1</v>
      </c>
    </row>
    <row r="444">
      <c r="A444" s="13" t="s">
        <v>437</v>
      </c>
      <c r="B444" s="14">
        <v>4.0</v>
      </c>
      <c r="C444" s="14">
        <v>5.24</v>
      </c>
      <c r="D444" s="14">
        <v>90.0</v>
      </c>
    </row>
    <row r="445">
      <c r="A445" s="13">
        <v>2.0715541E7</v>
      </c>
      <c r="B445" s="14">
        <v>6.0</v>
      </c>
      <c r="C445" s="14">
        <v>1.76</v>
      </c>
      <c r="D445" s="14">
        <v>111.5</v>
      </c>
    </row>
    <row r="446">
      <c r="A446" s="13" t="s">
        <v>438</v>
      </c>
      <c r="B446" s="14">
        <v>6.0</v>
      </c>
      <c r="C446" s="14">
        <v>10.68</v>
      </c>
      <c r="D446" s="14">
        <v>161.0</v>
      </c>
    </row>
    <row r="447">
      <c r="A447" s="13" t="s">
        <v>439</v>
      </c>
      <c r="B447" s="14">
        <v>6.0</v>
      </c>
      <c r="C447" s="14">
        <v>35.46</v>
      </c>
      <c r="D447" s="14">
        <v>84.9</v>
      </c>
    </row>
    <row r="448">
      <c r="A448" s="13" t="s">
        <v>440</v>
      </c>
      <c r="B448" s="14">
        <v>6.0</v>
      </c>
      <c r="C448" s="14">
        <v>8.26</v>
      </c>
      <c r="D448" s="14">
        <v>41.2</v>
      </c>
    </row>
    <row r="449">
      <c r="A449" s="13" t="s">
        <v>441</v>
      </c>
      <c r="B449" s="14">
        <v>3.0</v>
      </c>
      <c r="C449" s="14">
        <v>12.54</v>
      </c>
      <c r="D449" s="14">
        <v>104.4</v>
      </c>
    </row>
    <row r="450">
      <c r="A450" s="13" t="s">
        <v>442</v>
      </c>
      <c r="B450" s="14">
        <v>5.0</v>
      </c>
      <c r="C450" s="14">
        <v>0.71</v>
      </c>
      <c r="D450" s="14">
        <v>154.3</v>
      </c>
    </row>
    <row r="451">
      <c r="A451" s="13" t="s">
        <v>443</v>
      </c>
      <c r="B451" s="14">
        <v>2.0</v>
      </c>
      <c r="C451" s="14">
        <v>5.41</v>
      </c>
      <c r="D451" s="14">
        <v>68.0</v>
      </c>
    </row>
    <row r="452">
      <c r="A452" s="13" t="s">
        <v>444</v>
      </c>
      <c r="B452" s="14">
        <v>5.0</v>
      </c>
      <c r="C452" s="14">
        <v>1.24</v>
      </c>
      <c r="D452" s="14">
        <v>84.6</v>
      </c>
    </row>
    <row r="453">
      <c r="A453" s="13" t="s">
        <v>445</v>
      </c>
      <c r="B453" s="14">
        <v>3.0</v>
      </c>
      <c r="C453" s="14">
        <v>9.49</v>
      </c>
      <c r="D453" s="14">
        <v>127.9</v>
      </c>
    </row>
    <row r="454">
      <c r="A454" s="13" t="s">
        <v>446</v>
      </c>
      <c r="B454" s="14">
        <v>3.0</v>
      </c>
      <c r="C454" s="14">
        <v>27.88</v>
      </c>
      <c r="D454" s="14">
        <v>197.1</v>
      </c>
    </row>
    <row r="455">
      <c r="A455" s="13" t="s">
        <v>447</v>
      </c>
      <c r="B455" s="14">
        <v>5.0</v>
      </c>
      <c r="C455" s="14">
        <v>10.84</v>
      </c>
      <c r="D455" s="14">
        <v>79.3</v>
      </c>
    </row>
    <row r="456">
      <c r="A456" s="13" t="s">
        <v>448</v>
      </c>
      <c r="B456" s="14">
        <v>11.0</v>
      </c>
      <c r="C456" s="14">
        <v>0.8</v>
      </c>
      <c r="D456" s="14">
        <v>78.1</v>
      </c>
    </row>
    <row r="457">
      <c r="A457" s="13" t="s">
        <v>449</v>
      </c>
      <c r="B457" s="14">
        <v>7.0</v>
      </c>
      <c r="C457" s="14">
        <v>4.38</v>
      </c>
      <c r="D457" s="14">
        <v>130.2</v>
      </c>
    </row>
    <row r="458">
      <c r="A458" s="13" t="s">
        <v>450</v>
      </c>
      <c r="B458" s="14">
        <v>7.0</v>
      </c>
      <c r="C458" s="14">
        <v>8.0</v>
      </c>
      <c r="D458" s="14">
        <v>156.1</v>
      </c>
    </row>
    <row r="459">
      <c r="A459" s="13" t="s">
        <v>451</v>
      </c>
      <c r="B459" s="14">
        <v>4.0</v>
      </c>
      <c r="C459" s="14">
        <v>5.16</v>
      </c>
      <c r="D459" s="14">
        <v>101.3</v>
      </c>
    </row>
    <row r="460">
      <c r="A460" s="13" t="s">
        <v>452</v>
      </c>
      <c r="B460" s="14">
        <v>1.0</v>
      </c>
      <c r="C460" s="14">
        <v>17.94</v>
      </c>
      <c r="D460" s="14">
        <v>71.4</v>
      </c>
    </row>
    <row r="461">
      <c r="A461" s="13" t="s">
        <v>453</v>
      </c>
      <c r="B461" s="14">
        <v>4.0</v>
      </c>
      <c r="C461" s="14">
        <v>16.86</v>
      </c>
      <c r="D461" s="14">
        <v>133.0</v>
      </c>
    </row>
    <row r="462">
      <c r="A462" s="13" t="s">
        <v>454</v>
      </c>
      <c r="B462" s="14">
        <v>5.0</v>
      </c>
      <c r="C462" s="14">
        <v>9.46</v>
      </c>
      <c r="D462" s="14">
        <v>138.4</v>
      </c>
    </row>
    <row r="463">
      <c r="A463" s="13" t="s">
        <v>455</v>
      </c>
      <c r="B463" s="14">
        <v>4.0</v>
      </c>
      <c r="C463" s="14">
        <v>4.68</v>
      </c>
      <c r="D463" s="14">
        <v>173.4</v>
      </c>
    </row>
    <row r="464">
      <c r="A464" s="13" t="s">
        <v>456</v>
      </c>
      <c r="B464" s="14">
        <v>4.0</v>
      </c>
      <c r="C464" s="14">
        <v>2.95</v>
      </c>
      <c r="D464" s="14">
        <v>139.7</v>
      </c>
    </row>
    <row r="465">
      <c r="A465" s="13" t="s">
        <v>457</v>
      </c>
      <c r="B465" s="14">
        <v>7.0</v>
      </c>
      <c r="C465" s="14">
        <v>1.12</v>
      </c>
      <c r="D465" s="14">
        <v>144.8</v>
      </c>
    </row>
    <row r="466">
      <c r="A466" s="13" t="s">
        <v>458</v>
      </c>
      <c r="B466" s="14">
        <v>6.0</v>
      </c>
      <c r="C466" s="14">
        <v>4.38</v>
      </c>
      <c r="D466" s="14">
        <v>112.1</v>
      </c>
    </row>
    <row r="467">
      <c r="A467" s="13" t="s">
        <v>459</v>
      </c>
      <c r="B467" s="14">
        <v>8.0</v>
      </c>
      <c r="C467" s="14">
        <v>5.33</v>
      </c>
      <c r="D467" s="14">
        <v>193.2</v>
      </c>
    </row>
    <row r="468">
      <c r="A468" s="13" t="s">
        <v>460</v>
      </c>
      <c r="B468" s="14">
        <v>4.0</v>
      </c>
      <c r="C468" s="14">
        <v>11.26</v>
      </c>
      <c r="D468" s="14">
        <v>108.1</v>
      </c>
    </row>
    <row r="469">
      <c r="A469" s="13" t="s">
        <v>461</v>
      </c>
      <c r="B469" s="14">
        <v>3.0</v>
      </c>
      <c r="C469" s="14">
        <v>10.73</v>
      </c>
      <c r="D469" s="14">
        <v>101.6</v>
      </c>
    </row>
    <row r="470">
      <c r="A470" s="13" t="s">
        <v>462</v>
      </c>
      <c r="B470" s="14">
        <v>0.0</v>
      </c>
      <c r="C470" s="14">
        <v>0.73</v>
      </c>
      <c r="D470" s="14">
        <v>174.3</v>
      </c>
    </row>
    <row r="471">
      <c r="A471" s="13" t="s">
        <v>463</v>
      </c>
      <c r="B471" s="14">
        <v>4.0</v>
      </c>
      <c r="C471" s="14">
        <v>5.03</v>
      </c>
      <c r="D471" s="14">
        <v>75.8</v>
      </c>
    </row>
    <row r="472">
      <c r="A472" s="13" t="s">
        <v>464</v>
      </c>
      <c r="B472" s="14">
        <v>1.0</v>
      </c>
      <c r="C472" s="14">
        <v>2.01</v>
      </c>
      <c r="D472" s="14">
        <v>64.6</v>
      </c>
    </row>
    <row r="473">
      <c r="A473" s="13" t="s">
        <v>465</v>
      </c>
      <c r="B473" s="14">
        <v>4.0</v>
      </c>
      <c r="C473" s="14">
        <v>1.71</v>
      </c>
      <c r="D473" s="14">
        <v>123.6</v>
      </c>
    </row>
    <row r="474">
      <c r="A474" s="13" t="s">
        <v>466</v>
      </c>
      <c r="B474" s="14">
        <v>3.0</v>
      </c>
      <c r="C474" s="14">
        <v>17.56</v>
      </c>
      <c r="D474" s="14">
        <v>119.9</v>
      </c>
    </row>
    <row r="475">
      <c r="A475" s="13" t="s">
        <v>467</v>
      </c>
      <c r="B475" s="14">
        <v>5.0</v>
      </c>
      <c r="C475" s="14">
        <v>0.43</v>
      </c>
      <c r="D475" s="14">
        <v>113.2</v>
      </c>
    </row>
    <row r="476">
      <c r="A476" s="13" t="s">
        <v>468</v>
      </c>
      <c r="B476" s="14">
        <v>6.0</v>
      </c>
      <c r="C476" s="14">
        <v>5.43</v>
      </c>
      <c r="D476" s="14">
        <v>149.8</v>
      </c>
    </row>
    <row r="477">
      <c r="A477" s="13" t="s">
        <v>469</v>
      </c>
      <c r="B477" s="14">
        <v>6.0</v>
      </c>
      <c r="C477" s="14">
        <v>1.84</v>
      </c>
      <c r="D477" s="14">
        <v>92.8</v>
      </c>
    </row>
    <row r="478">
      <c r="A478" s="13" t="s">
        <v>470</v>
      </c>
      <c r="B478" s="14">
        <v>4.0</v>
      </c>
      <c r="C478" s="14">
        <v>21.15</v>
      </c>
      <c r="D478" s="14">
        <v>121.9</v>
      </c>
    </row>
    <row r="479">
      <c r="A479" s="13" t="s">
        <v>471</v>
      </c>
      <c r="B479" s="14">
        <v>4.0</v>
      </c>
      <c r="C479" s="14">
        <v>8.14</v>
      </c>
      <c r="D479" s="14">
        <v>109.2</v>
      </c>
    </row>
    <row r="480">
      <c r="A480" s="13" t="s">
        <v>472</v>
      </c>
      <c r="B480" s="14">
        <v>5.0</v>
      </c>
      <c r="C480" s="14">
        <v>2.63</v>
      </c>
      <c r="D480" s="14">
        <v>93.3</v>
      </c>
    </row>
    <row r="481">
      <c r="A481" s="13" t="s">
        <v>473</v>
      </c>
      <c r="B481" s="14">
        <v>1.0</v>
      </c>
      <c r="C481" s="14">
        <v>6.98</v>
      </c>
      <c r="D481" s="14">
        <v>118.1</v>
      </c>
    </row>
    <row r="482">
      <c r="A482" s="13" t="s">
        <v>474</v>
      </c>
      <c r="B482" s="14">
        <v>9.0</v>
      </c>
      <c r="C482" s="14">
        <v>13.15</v>
      </c>
      <c r="D482" s="14">
        <v>145.6</v>
      </c>
    </row>
    <row r="483">
      <c r="A483" s="13" t="s">
        <v>475</v>
      </c>
      <c r="B483" s="14">
        <v>7.0</v>
      </c>
      <c r="C483" s="14">
        <v>31.73</v>
      </c>
      <c r="D483" s="14">
        <v>183.6</v>
      </c>
    </row>
    <row r="484">
      <c r="A484" s="13" t="s">
        <v>476</v>
      </c>
      <c r="B484" s="14">
        <v>5.0</v>
      </c>
      <c r="C484" s="14">
        <v>2.49</v>
      </c>
      <c r="D484" s="14">
        <v>137.4</v>
      </c>
    </row>
    <row r="485">
      <c r="A485" s="13" t="s">
        <v>477</v>
      </c>
      <c r="B485" s="14">
        <v>4.0</v>
      </c>
      <c r="C485" s="14">
        <v>21.73</v>
      </c>
      <c r="D485" s="14">
        <v>44.7</v>
      </c>
    </row>
    <row r="486">
      <c r="A486" s="13" t="s">
        <v>478</v>
      </c>
      <c r="B486" s="14">
        <v>5.0</v>
      </c>
      <c r="C486" s="14">
        <v>27.23</v>
      </c>
      <c r="D486" s="14">
        <v>118.9</v>
      </c>
    </row>
    <row r="487">
      <c r="A487" s="13" t="s">
        <v>479</v>
      </c>
      <c r="B487" s="14">
        <v>4.0</v>
      </c>
      <c r="C487" s="14">
        <v>24.82</v>
      </c>
      <c r="D487" s="14">
        <v>121.5</v>
      </c>
    </row>
    <row r="488">
      <c r="A488" s="13" t="s">
        <v>480</v>
      </c>
      <c r="B488" s="14">
        <v>1.0</v>
      </c>
      <c r="C488" s="14">
        <v>10.09</v>
      </c>
      <c r="D488" s="14">
        <v>148.1</v>
      </c>
    </row>
    <row r="489">
      <c r="A489" s="13" t="s">
        <v>481</v>
      </c>
      <c r="B489" s="14">
        <v>3.0</v>
      </c>
      <c r="C489" s="14">
        <v>9.94</v>
      </c>
      <c r="D489" s="14">
        <v>125.5</v>
      </c>
    </row>
    <row r="490">
      <c r="A490" s="13" t="s">
        <v>482</v>
      </c>
      <c r="B490" s="14">
        <v>7.0</v>
      </c>
      <c r="C490" s="14">
        <v>5.16</v>
      </c>
      <c r="D490" s="14">
        <v>157.6</v>
      </c>
    </row>
    <row r="491">
      <c r="A491" s="13" t="s">
        <v>483</v>
      </c>
      <c r="B491" s="14">
        <v>6.0</v>
      </c>
      <c r="C491" s="14">
        <v>13.96</v>
      </c>
      <c r="D491" s="14">
        <v>131.8</v>
      </c>
    </row>
    <row r="492">
      <c r="A492" s="13">
        <v>3.5000267E7</v>
      </c>
      <c r="B492" s="14">
        <v>10.0</v>
      </c>
      <c r="C492" s="14">
        <v>7.58</v>
      </c>
      <c r="D492" s="14">
        <v>166.8</v>
      </c>
    </row>
    <row r="493">
      <c r="A493" s="13" t="s">
        <v>484</v>
      </c>
      <c r="B493" s="14">
        <v>4.0</v>
      </c>
      <c r="C493" s="14">
        <v>11.31</v>
      </c>
      <c r="D493" s="14">
        <v>106.8</v>
      </c>
    </row>
    <row r="494">
      <c r="A494" s="13" t="s">
        <v>485</v>
      </c>
      <c r="B494" s="14">
        <v>5.0</v>
      </c>
      <c r="C494" s="14">
        <v>5.59</v>
      </c>
      <c r="D494" s="14">
        <v>124.3</v>
      </c>
    </row>
    <row r="495">
      <c r="A495" s="13" t="s">
        <v>486</v>
      </c>
      <c r="B495" s="14">
        <v>6.0</v>
      </c>
      <c r="C495" s="14">
        <v>13.15</v>
      </c>
      <c r="D495" s="14">
        <v>144.8</v>
      </c>
    </row>
    <row r="496">
      <c r="A496" s="13" t="s">
        <v>487</v>
      </c>
      <c r="B496" s="14">
        <v>6.0</v>
      </c>
      <c r="C496" s="14">
        <v>17.4</v>
      </c>
      <c r="D496" s="14">
        <v>102.8</v>
      </c>
    </row>
    <row r="497">
      <c r="A497" s="13" t="s">
        <v>488</v>
      </c>
      <c r="B497" s="14">
        <v>8.0</v>
      </c>
      <c r="C497" s="14">
        <v>1.58</v>
      </c>
      <c r="D497" s="14">
        <v>96.3</v>
      </c>
    </row>
    <row r="498">
      <c r="A498" s="13" t="s">
        <v>489</v>
      </c>
      <c r="B498" s="14">
        <v>4.0</v>
      </c>
      <c r="C498" s="14">
        <v>17.89</v>
      </c>
      <c r="D498" s="14">
        <v>101.1</v>
      </c>
    </row>
    <row r="499">
      <c r="A499" s="13" t="s">
        <v>490</v>
      </c>
      <c r="B499" s="14">
        <v>3.0</v>
      </c>
      <c r="C499" s="14">
        <v>7.77</v>
      </c>
      <c r="D499" s="14">
        <v>97.5</v>
      </c>
    </row>
    <row r="500">
      <c r="A500" s="13" t="s">
        <v>491</v>
      </c>
      <c r="B500" s="14">
        <v>3.0</v>
      </c>
      <c r="C500" s="14">
        <v>18.62</v>
      </c>
      <c r="D500" s="14">
        <v>135.7</v>
      </c>
    </row>
    <row r="501">
      <c r="A501" s="13" t="s">
        <v>492</v>
      </c>
      <c r="B501" s="25">
        <v>9.0</v>
      </c>
      <c r="C501" s="25">
        <v>5.64</v>
      </c>
      <c r="D501" s="25">
        <v>65.0</v>
      </c>
    </row>
    <row r="502">
      <c r="A502" s="26"/>
      <c r="B502" s="27"/>
      <c r="C502" s="28"/>
      <c r="D502" s="28"/>
    </row>
    <row r="503">
      <c r="A503" s="26"/>
      <c r="B503" s="27"/>
      <c r="C503" s="28"/>
      <c r="D503" s="28"/>
    </row>
    <row r="504">
      <c r="A504" s="26"/>
      <c r="B504" s="27"/>
      <c r="C504" s="28"/>
      <c r="D504" s="28"/>
    </row>
    <row r="505">
      <c r="A505" s="26"/>
      <c r="B505" s="27"/>
      <c r="C505" s="28"/>
      <c r="D505" s="28"/>
    </row>
    <row r="506">
      <c r="A506" s="26"/>
      <c r="B506" s="27"/>
      <c r="C506" s="28"/>
      <c r="D506" s="28"/>
    </row>
    <row r="507">
      <c r="A507" s="26"/>
      <c r="B507" s="27"/>
      <c r="C507" s="28"/>
      <c r="D507" s="28"/>
    </row>
    <row r="508">
      <c r="A508" s="26"/>
      <c r="B508" s="27"/>
      <c r="C508" s="28"/>
      <c r="D508" s="28"/>
    </row>
    <row r="509">
      <c r="A509" s="26"/>
      <c r="B509" s="27"/>
      <c r="C509" s="28"/>
      <c r="D509" s="28"/>
    </row>
    <row r="510">
      <c r="A510" s="26"/>
      <c r="B510" s="27"/>
      <c r="C510" s="28"/>
      <c r="D510" s="28"/>
    </row>
    <row r="511">
      <c r="A511" s="26"/>
      <c r="B511" s="27"/>
      <c r="C511" s="28"/>
      <c r="D511" s="28"/>
    </row>
    <row r="512">
      <c r="A512" s="26"/>
      <c r="B512" s="27"/>
      <c r="C512" s="28"/>
      <c r="D512" s="28"/>
    </row>
    <row r="513">
      <c r="A513" s="26"/>
      <c r="B513" s="27"/>
      <c r="C513" s="28"/>
      <c r="D513" s="28"/>
    </row>
    <row r="514">
      <c r="A514" s="26"/>
      <c r="B514" s="27"/>
      <c r="C514" s="28"/>
      <c r="D514" s="28"/>
    </row>
    <row r="515">
      <c r="A515" s="26"/>
      <c r="B515" s="27"/>
      <c r="C515" s="28"/>
      <c r="D515" s="28"/>
    </row>
    <row r="516">
      <c r="A516" s="26"/>
      <c r="B516" s="27"/>
      <c r="C516" s="28"/>
      <c r="D516" s="28"/>
    </row>
    <row r="517">
      <c r="A517" s="26"/>
      <c r="B517" s="27"/>
      <c r="C517" s="28"/>
      <c r="D517" s="28"/>
    </row>
    <row r="518">
      <c r="A518" s="26"/>
      <c r="B518" s="27"/>
      <c r="C518" s="28"/>
      <c r="D518" s="28"/>
    </row>
    <row r="519">
      <c r="A519" s="26"/>
      <c r="B519" s="27"/>
      <c r="C519" s="28"/>
      <c r="D519" s="28"/>
    </row>
    <row r="520">
      <c r="A520" s="26"/>
      <c r="B520" s="27"/>
      <c r="C520" s="28"/>
      <c r="D520" s="28"/>
    </row>
    <row r="521">
      <c r="A521" s="26"/>
      <c r="B521" s="27"/>
      <c r="C521" s="28"/>
      <c r="D521" s="28"/>
    </row>
    <row r="522">
      <c r="A522" s="26"/>
      <c r="B522" s="27"/>
      <c r="C522" s="28"/>
      <c r="D522" s="28"/>
    </row>
    <row r="523">
      <c r="A523" s="26"/>
      <c r="B523" s="27"/>
      <c r="C523" s="28"/>
      <c r="D523" s="28"/>
    </row>
    <row r="524">
      <c r="A524" s="26"/>
      <c r="B524" s="27"/>
      <c r="C524" s="28"/>
      <c r="D524" s="28"/>
    </row>
    <row r="525">
      <c r="A525" s="26"/>
      <c r="B525" s="27"/>
      <c r="C525" s="28"/>
      <c r="D525" s="28"/>
    </row>
    <row r="526">
      <c r="A526" s="26"/>
      <c r="B526" s="27"/>
      <c r="C526" s="28"/>
      <c r="D526" s="28"/>
    </row>
    <row r="527">
      <c r="A527" s="26"/>
      <c r="B527" s="27"/>
      <c r="C527" s="28"/>
      <c r="D527" s="28"/>
    </row>
    <row r="528">
      <c r="A528" s="26"/>
      <c r="B528" s="27"/>
      <c r="C528" s="28"/>
      <c r="D528" s="28"/>
    </row>
    <row r="529">
      <c r="A529" s="26"/>
      <c r="B529" s="27"/>
      <c r="C529" s="28"/>
      <c r="D529" s="28"/>
    </row>
    <row r="530">
      <c r="A530" s="26"/>
      <c r="B530" s="27"/>
      <c r="C530" s="28"/>
      <c r="D530" s="28"/>
    </row>
    <row r="531">
      <c r="A531" s="26"/>
      <c r="B531" s="27"/>
      <c r="C531" s="28"/>
      <c r="D531" s="28"/>
    </row>
    <row r="532">
      <c r="A532" s="26"/>
      <c r="B532" s="27"/>
      <c r="C532" s="28"/>
      <c r="D532" s="28"/>
    </row>
    <row r="533">
      <c r="A533" s="26"/>
      <c r="B533" s="27"/>
      <c r="C533" s="28"/>
      <c r="D533" s="28"/>
    </row>
    <row r="534">
      <c r="A534" s="26"/>
      <c r="B534" s="27"/>
      <c r="C534" s="28"/>
      <c r="D534" s="28"/>
    </row>
    <row r="535">
      <c r="A535" s="26"/>
      <c r="B535" s="27"/>
      <c r="C535" s="28"/>
      <c r="D535" s="28"/>
    </row>
    <row r="536">
      <c r="A536" s="26"/>
      <c r="B536" s="27"/>
      <c r="C536" s="28"/>
      <c r="D536" s="28"/>
    </row>
    <row r="537">
      <c r="A537" s="26"/>
      <c r="B537" s="27"/>
      <c r="C537" s="28"/>
      <c r="D537" s="28"/>
    </row>
    <row r="538">
      <c r="A538" s="26"/>
      <c r="B538" s="27"/>
      <c r="C538" s="28"/>
      <c r="D538" s="28"/>
    </row>
    <row r="539">
      <c r="A539" s="26"/>
      <c r="B539" s="27"/>
      <c r="C539" s="28"/>
      <c r="D539" s="28"/>
    </row>
    <row r="540">
      <c r="A540" s="26"/>
      <c r="B540" s="27"/>
      <c r="C540" s="28"/>
      <c r="D540" s="28"/>
    </row>
    <row r="541">
      <c r="A541" s="26"/>
      <c r="B541" s="27"/>
      <c r="C541" s="28"/>
      <c r="D541" s="28"/>
    </row>
    <row r="542">
      <c r="A542" s="26"/>
      <c r="B542" s="27"/>
      <c r="C542" s="28"/>
      <c r="D542" s="28"/>
    </row>
    <row r="543">
      <c r="A543" s="26"/>
      <c r="B543" s="27"/>
      <c r="C543" s="28"/>
      <c r="D543" s="28"/>
    </row>
    <row r="544">
      <c r="A544" s="26"/>
      <c r="B544" s="27"/>
      <c r="C544" s="28"/>
      <c r="D544" s="28"/>
    </row>
    <row r="545">
      <c r="A545" s="26"/>
      <c r="B545" s="27"/>
      <c r="C545" s="28"/>
      <c r="D545" s="28"/>
    </row>
    <row r="546">
      <c r="A546" s="26"/>
      <c r="B546" s="27"/>
      <c r="C546" s="28"/>
      <c r="D546" s="28"/>
    </row>
    <row r="547">
      <c r="A547" s="26"/>
      <c r="B547" s="27"/>
      <c r="C547" s="28"/>
      <c r="D547" s="28"/>
    </row>
    <row r="548">
      <c r="A548" s="26"/>
      <c r="B548" s="27"/>
      <c r="C548" s="28"/>
      <c r="D548" s="28"/>
    </row>
    <row r="549">
      <c r="A549" s="26"/>
      <c r="B549" s="27"/>
      <c r="C549" s="28"/>
      <c r="D549" s="28"/>
    </row>
    <row r="550">
      <c r="A550" s="26"/>
      <c r="B550" s="27"/>
      <c r="C550" s="28"/>
      <c r="D550" s="28"/>
    </row>
    <row r="551">
      <c r="A551" s="26"/>
      <c r="B551" s="27"/>
      <c r="C551" s="28"/>
      <c r="D551" s="28"/>
    </row>
    <row r="552">
      <c r="A552" s="26"/>
      <c r="B552" s="27"/>
      <c r="C552" s="28"/>
      <c r="D552" s="28"/>
    </row>
    <row r="553">
      <c r="A553" s="26"/>
      <c r="B553" s="27"/>
      <c r="C553" s="28"/>
      <c r="D553" s="28"/>
    </row>
    <row r="554">
      <c r="A554" s="26"/>
      <c r="B554" s="27"/>
      <c r="C554" s="28"/>
      <c r="D554" s="28"/>
    </row>
    <row r="555">
      <c r="A555" s="26"/>
      <c r="B555" s="27"/>
      <c r="C555" s="28"/>
      <c r="D555" s="28"/>
    </row>
    <row r="556">
      <c r="A556" s="26"/>
      <c r="B556" s="27"/>
      <c r="C556" s="28"/>
      <c r="D556" s="28"/>
    </row>
    <row r="557">
      <c r="A557" s="26"/>
      <c r="B557" s="27"/>
      <c r="C557" s="28"/>
      <c r="D557" s="28"/>
    </row>
    <row r="558">
      <c r="A558" s="26"/>
      <c r="B558" s="27"/>
      <c r="C558" s="28"/>
      <c r="D558" s="28"/>
    </row>
    <row r="559">
      <c r="A559" s="26"/>
      <c r="B559" s="27"/>
      <c r="C559" s="28"/>
      <c r="D559" s="28"/>
    </row>
    <row r="560">
      <c r="A560" s="26"/>
      <c r="B560" s="27"/>
      <c r="C560" s="28"/>
      <c r="D560" s="28"/>
    </row>
    <row r="561">
      <c r="A561" s="26"/>
      <c r="B561" s="27"/>
      <c r="C561" s="28"/>
      <c r="D561" s="28"/>
    </row>
    <row r="562">
      <c r="A562" s="26"/>
      <c r="B562" s="27"/>
      <c r="C562" s="28"/>
      <c r="D562" s="28"/>
    </row>
    <row r="563">
      <c r="A563" s="26"/>
      <c r="B563" s="27"/>
      <c r="C563" s="28"/>
      <c r="D563" s="28"/>
    </row>
    <row r="564">
      <c r="A564" s="26"/>
      <c r="B564" s="27"/>
      <c r="C564" s="28"/>
      <c r="D564" s="28"/>
    </row>
    <row r="565">
      <c r="A565" s="26"/>
      <c r="B565" s="27"/>
      <c r="C565" s="28"/>
      <c r="D565" s="28"/>
    </row>
    <row r="566">
      <c r="A566" s="26"/>
      <c r="B566" s="27"/>
      <c r="C566" s="28"/>
      <c r="D566" s="28"/>
    </row>
    <row r="567">
      <c r="A567" s="26"/>
      <c r="B567" s="27"/>
      <c r="C567" s="28"/>
      <c r="D567" s="28"/>
    </row>
    <row r="568">
      <c r="A568" s="26"/>
      <c r="B568" s="27"/>
      <c r="C568" s="28"/>
      <c r="D568" s="28"/>
    </row>
    <row r="569">
      <c r="A569" s="26"/>
      <c r="B569" s="27"/>
      <c r="C569" s="28"/>
      <c r="D569" s="28"/>
    </row>
    <row r="570">
      <c r="A570" s="26"/>
      <c r="B570" s="27"/>
      <c r="C570" s="28"/>
      <c r="D570" s="28"/>
    </row>
    <row r="571">
      <c r="A571" s="26"/>
      <c r="B571" s="27"/>
      <c r="C571" s="28"/>
      <c r="D571" s="28"/>
    </row>
    <row r="572">
      <c r="A572" s="26"/>
      <c r="B572" s="27"/>
      <c r="C572" s="28"/>
      <c r="D572" s="28"/>
    </row>
    <row r="573">
      <c r="A573" s="26"/>
      <c r="B573" s="27"/>
      <c r="C573" s="28"/>
      <c r="D573" s="28"/>
    </row>
    <row r="574">
      <c r="A574" s="26"/>
      <c r="B574" s="27"/>
      <c r="C574" s="28"/>
      <c r="D574" s="28"/>
    </row>
    <row r="575">
      <c r="A575" s="26"/>
      <c r="B575" s="27"/>
      <c r="C575" s="28"/>
      <c r="D575" s="28"/>
    </row>
    <row r="576">
      <c r="A576" s="26"/>
      <c r="B576" s="27"/>
      <c r="C576" s="28"/>
      <c r="D576" s="28"/>
    </row>
    <row r="577">
      <c r="A577" s="26"/>
      <c r="B577" s="27"/>
      <c r="C577" s="28"/>
      <c r="D577" s="28"/>
    </row>
    <row r="578">
      <c r="A578" s="26"/>
      <c r="B578" s="27"/>
      <c r="C578" s="28"/>
      <c r="D578" s="28"/>
    </row>
    <row r="579">
      <c r="A579" s="26"/>
      <c r="B579" s="27"/>
      <c r="C579" s="28"/>
      <c r="D579" s="28"/>
    </row>
    <row r="580">
      <c r="A580" s="26"/>
      <c r="B580" s="27"/>
      <c r="C580" s="28"/>
      <c r="D580" s="28"/>
    </row>
    <row r="581">
      <c r="A581" s="26"/>
      <c r="B581" s="27"/>
      <c r="C581" s="28"/>
      <c r="D581" s="28"/>
    </row>
    <row r="582">
      <c r="A582" s="26"/>
      <c r="B582" s="27"/>
      <c r="C582" s="28"/>
      <c r="D582" s="28"/>
    </row>
    <row r="583">
      <c r="A583" s="26"/>
      <c r="B583" s="27"/>
      <c r="C583" s="28"/>
      <c r="D583" s="28"/>
    </row>
    <row r="584">
      <c r="A584" s="26"/>
      <c r="B584" s="27"/>
      <c r="C584" s="28"/>
      <c r="D584" s="28"/>
    </row>
    <row r="585">
      <c r="A585" s="26"/>
      <c r="B585" s="27"/>
      <c r="C585" s="28"/>
      <c r="D585" s="28"/>
    </row>
    <row r="586">
      <c r="A586" s="26"/>
      <c r="B586" s="27"/>
      <c r="C586" s="28"/>
      <c r="D586" s="28"/>
    </row>
    <row r="587">
      <c r="A587" s="26"/>
      <c r="B587" s="27"/>
      <c r="C587" s="28"/>
      <c r="D587" s="28"/>
    </row>
    <row r="588">
      <c r="A588" s="26"/>
      <c r="B588" s="27"/>
      <c r="C588" s="28"/>
      <c r="D588" s="28"/>
    </row>
    <row r="589">
      <c r="A589" s="26"/>
      <c r="B589" s="27"/>
      <c r="C589" s="28"/>
      <c r="D589" s="28"/>
    </row>
    <row r="590">
      <c r="A590" s="26"/>
      <c r="B590" s="27"/>
      <c r="C590" s="28"/>
      <c r="D590" s="28"/>
    </row>
    <row r="591">
      <c r="A591" s="26"/>
      <c r="B591" s="27"/>
      <c r="C591" s="28"/>
      <c r="D591" s="28"/>
    </row>
    <row r="592">
      <c r="A592" s="26"/>
      <c r="B592" s="27"/>
      <c r="C592" s="28"/>
      <c r="D592" s="28"/>
    </row>
    <row r="593">
      <c r="A593" s="26"/>
      <c r="B593" s="27"/>
      <c r="C593" s="28"/>
      <c r="D593" s="28"/>
    </row>
    <row r="594">
      <c r="A594" s="26"/>
      <c r="B594" s="27"/>
      <c r="C594" s="28"/>
      <c r="D594" s="28"/>
    </row>
    <row r="595">
      <c r="A595" s="26"/>
      <c r="B595" s="27"/>
      <c r="C595" s="28"/>
      <c r="D595" s="28"/>
    </row>
    <row r="596">
      <c r="A596" s="26"/>
      <c r="B596" s="27"/>
      <c r="C596" s="28"/>
      <c r="D596" s="28"/>
    </row>
    <row r="597">
      <c r="A597" s="26"/>
      <c r="B597" s="27"/>
      <c r="C597" s="28"/>
      <c r="D597" s="28"/>
    </row>
    <row r="598">
      <c r="A598" s="26"/>
      <c r="B598" s="27"/>
      <c r="C598" s="28"/>
      <c r="D598" s="28"/>
    </row>
    <row r="599">
      <c r="A599" s="26"/>
      <c r="B599" s="27"/>
      <c r="C599" s="28"/>
      <c r="D599" s="28"/>
    </row>
    <row r="600">
      <c r="A600" s="26"/>
      <c r="B600" s="27"/>
      <c r="C600" s="28"/>
      <c r="D600" s="28"/>
    </row>
    <row r="601">
      <c r="A601" s="26"/>
      <c r="B601" s="27"/>
      <c r="C601" s="28"/>
      <c r="D601" s="28"/>
    </row>
    <row r="602">
      <c r="A602" s="26"/>
      <c r="B602" s="27"/>
      <c r="C602" s="28"/>
      <c r="D602" s="28"/>
    </row>
    <row r="603">
      <c r="A603" s="26"/>
      <c r="B603" s="27"/>
      <c r="C603" s="28"/>
      <c r="D603" s="28"/>
    </row>
    <row r="604">
      <c r="A604" s="26"/>
      <c r="B604" s="27"/>
      <c r="C604" s="28"/>
      <c r="D604" s="28"/>
    </row>
    <row r="605">
      <c r="A605" s="26"/>
      <c r="B605" s="27"/>
      <c r="C605" s="28"/>
      <c r="D605" s="28"/>
    </row>
    <row r="606">
      <c r="A606" s="26"/>
      <c r="B606" s="27"/>
      <c r="C606" s="28"/>
      <c r="D606" s="28"/>
    </row>
    <row r="607">
      <c r="A607" s="26"/>
      <c r="B607" s="27"/>
      <c r="C607" s="28"/>
      <c r="D607" s="28"/>
    </row>
    <row r="608">
      <c r="A608" s="26"/>
      <c r="B608" s="27"/>
      <c r="C608" s="28"/>
      <c r="D608" s="28"/>
    </row>
    <row r="609">
      <c r="A609" s="26"/>
      <c r="B609" s="27"/>
      <c r="C609" s="28"/>
      <c r="D609" s="28"/>
    </row>
    <row r="610">
      <c r="A610" s="26"/>
      <c r="B610" s="27"/>
      <c r="C610" s="28"/>
      <c r="D610" s="28"/>
    </row>
    <row r="611">
      <c r="A611" s="26"/>
      <c r="B611" s="27"/>
      <c r="C611" s="28"/>
      <c r="D611" s="28"/>
    </row>
    <row r="612">
      <c r="A612" s="26"/>
      <c r="B612" s="27"/>
      <c r="C612" s="28"/>
      <c r="D612" s="28"/>
    </row>
    <row r="613">
      <c r="A613" s="26"/>
      <c r="B613" s="27"/>
      <c r="C613" s="28"/>
      <c r="D613" s="28"/>
    </row>
    <row r="614">
      <c r="A614" s="26"/>
      <c r="B614" s="27"/>
      <c r="C614" s="28"/>
      <c r="D614" s="28"/>
    </row>
    <row r="615">
      <c r="A615" s="26"/>
      <c r="B615" s="27"/>
      <c r="C615" s="28"/>
      <c r="D615" s="28"/>
    </row>
    <row r="616">
      <c r="A616" s="26"/>
      <c r="B616" s="27"/>
      <c r="C616" s="28"/>
      <c r="D616" s="28"/>
    </row>
    <row r="617">
      <c r="A617" s="26"/>
      <c r="B617" s="27"/>
      <c r="C617" s="28"/>
      <c r="D617" s="28"/>
    </row>
    <row r="618">
      <c r="A618" s="26"/>
      <c r="B618" s="27"/>
      <c r="C618" s="28"/>
      <c r="D618" s="28"/>
    </row>
    <row r="619">
      <c r="A619" s="26"/>
      <c r="B619" s="27"/>
      <c r="C619" s="28"/>
      <c r="D619" s="28"/>
    </row>
    <row r="620">
      <c r="A620" s="26"/>
      <c r="B620" s="27"/>
      <c r="C620" s="28"/>
      <c r="D620" s="28"/>
    </row>
    <row r="621">
      <c r="A621" s="26"/>
      <c r="B621" s="27"/>
      <c r="C621" s="28"/>
      <c r="D621" s="28"/>
    </row>
    <row r="622">
      <c r="A622" s="26"/>
      <c r="B622" s="27"/>
      <c r="C622" s="28"/>
      <c r="D622" s="28"/>
    </row>
    <row r="623">
      <c r="A623" s="26"/>
      <c r="B623" s="27"/>
      <c r="C623" s="28"/>
      <c r="D623" s="28"/>
    </row>
    <row r="624">
      <c r="A624" s="26"/>
      <c r="B624" s="27"/>
      <c r="C624" s="28"/>
      <c r="D624" s="28"/>
    </row>
    <row r="625">
      <c r="A625" s="26"/>
      <c r="B625" s="27"/>
      <c r="C625" s="28"/>
      <c r="D625" s="28"/>
    </row>
    <row r="626">
      <c r="A626" s="26"/>
      <c r="B626" s="27"/>
      <c r="C626" s="28"/>
      <c r="D626" s="28"/>
    </row>
    <row r="627">
      <c r="A627" s="26"/>
      <c r="B627" s="27"/>
      <c r="C627" s="28"/>
      <c r="D627" s="28"/>
    </row>
    <row r="628">
      <c r="A628" s="26"/>
      <c r="B628" s="27"/>
      <c r="C628" s="28"/>
      <c r="D628" s="28"/>
    </row>
    <row r="629">
      <c r="A629" s="26"/>
      <c r="B629" s="27"/>
      <c r="C629" s="28"/>
      <c r="D629" s="28"/>
    </row>
    <row r="630">
      <c r="A630" s="26"/>
      <c r="B630" s="27"/>
      <c r="C630" s="28"/>
      <c r="D630" s="28"/>
    </row>
    <row r="631">
      <c r="A631" s="26"/>
      <c r="B631" s="27"/>
      <c r="C631" s="28"/>
      <c r="D631" s="28"/>
    </row>
    <row r="632">
      <c r="A632" s="26"/>
      <c r="B632" s="27"/>
      <c r="C632" s="28"/>
      <c r="D632" s="28"/>
    </row>
    <row r="633">
      <c r="A633" s="26"/>
      <c r="B633" s="27"/>
      <c r="C633" s="28"/>
      <c r="D633" s="28"/>
    </row>
    <row r="634">
      <c r="A634" s="26"/>
      <c r="B634" s="27"/>
      <c r="C634" s="28"/>
      <c r="D634" s="28"/>
    </row>
    <row r="635">
      <c r="A635" s="26"/>
      <c r="B635" s="27"/>
      <c r="C635" s="28"/>
      <c r="D635" s="28"/>
    </row>
    <row r="636">
      <c r="A636" s="26"/>
      <c r="B636" s="27"/>
      <c r="C636" s="28"/>
      <c r="D636" s="28"/>
    </row>
    <row r="637">
      <c r="A637" s="26"/>
      <c r="B637" s="27"/>
      <c r="C637" s="28"/>
      <c r="D637" s="28"/>
    </row>
    <row r="638">
      <c r="A638" s="26"/>
      <c r="B638" s="27"/>
      <c r="C638" s="28"/>
      <c r="D638" s="28"/>
    </row>
    <row r="639">
      <c r="A639" s="26"/>
      <c r="B639" s="27"/>
      <c r="C639" s="28"/>
      <c r="D639" s="28"/>
    </row>
    <row r="640">
      <c r="A640" s="26"/>
      <c r="B640" s="27"/>
      <c r="C640" s="28"/>
      <c r="D640" s="28"/>
    </row>
    <row r="641">
      <c r="A641" s="26"/>
      <c r="B641" s="27"/>
      <c r="C641" s="28"/>
      <c r="D641" s="28"/>
    </row>
    <row r="642">
      <c r="A642" s="26"/>
      <c r="B642" s="27"/>
      <c r="C642" s="28"/>
      <c r="D642" s="28"/>
    </row>
    <row r="643">
      <c r="A643" s="26"/>
      <c r="B643" s="27"/>
      <c r="C643" s="28"/>
      <c r="D643" s="28"/>
    </row>
    <row r="644">
      <c r="A644" s="26"/>
      <c r="B644" s="27"/>
      <c r="C644" s="28"/>
      <c r="D644" s="28"/>
    </row>
    <row r="645">
      <c r="A645" s="26"/>
      <c r="B645" s="27"/>
      <c r="C645" s="28"/>
      <c r="D645" s="28"/>
    </row>
    <row r="646">
      <c r="A646" s="26"/>
      <c r="B646" s="27"/>
      <c r="C646" s="28"/>
      <c r="D646" s="28"/>
    </row>
    <row r="647">
      <c r="A647" s="26"/>
      <c r="B647" s="27"/>
      <c r="C647" s="28"/>
      <c r="D647" s="28"/>
    </row>
    <row r="648">
      <c r="A648" s="26"/>
      <c r="B648" s="27"/>
      <c r="C648" s="28"/>
      <c r="D648" s="28"/>
    </row>
    <row r="649">
      <c r="A649" s="26"/>
      <c r="B649" s="27"/>
      <c r="C649" s="28"/>
      <c r="D649" s="28"/>
    </row>
    <row r="650">
      <c r="A650" s="26"/>
      <c r="B650" s="27"/>
      <c r="C650" s="28"/>
      <c r="D650" s="28"/>
    </row>
    <row r="651">
      <c r="A651" s="26"/>
      <c r="B651" s="27"/>
      <c r="C651" s="28"/>
      <c r="D651" s="28"/>
    </row>
    <row r="652">
      <c r="A652" s="26"/>
      <c r="B652" s="27"/>
      <c r="C652" s="28"/>
      <c r="D652" s="28"/>
    </row>
    <row r="653">
      <c r="A653" s="26"/>
      <c r="B653" s="27"/>
      <c r="C653" s="28"/>
      <c r="D653" s="28"/>
    </row>
    <row r="654">
      <c r="A654" s="26"/>
      <c r="B654" s="27"/>
      <c r="C654" s="28"/>
      <c r="D654" s="28"/>
    </row>
    <row r="655">
      <c r="A655" s="26"/>
      <c r="B655" s="27"/>
      <c r="C655" s="28"/>
      <c r="D655" s="28"/>
    </row>
    <row r="656">
      <c r="A656" s="26"/>
      <c r="B656" s="27"/>
      <c r="C656" s="28"/>
      <c r="D656" s="28"/>
    </row>
    <row r="657">
      <c r="A657" s="26"/>
      <c r="B657" s="27"/>
      <c r="C657" s="28"/>
      <c r="D657" s="28"/>
    </row>
    <row r="658">
      <c r="A658" s="26"/>
      <c r="B658" s="27"/>
      <c r="C658" s="28"/>
      <c r="D658" s="28"/>
    </row>
    <row r="659">
      <c r="A659" s="26"/>
      <c r="B659" s="27"/>
      <c r="C659" s="28"/>
      <c r="D659" s="28"/>
    </row>
    <row r="660">
      <c r="A660" s="26"/>
      <c r="B660" s="27"/>
      <c r="C660" s="28"/>
      <c r="D660" s="28"/>
    </row>
    <row r="661">
      <c r="A661" s="26"/>
      <c r="B661" s="27"/>
      <c r="C661" s="28"/>
      <c r="D661" s="28"/>
    </row>
    <row r="662">
      <c r="A662" s="26"/>
      <c r="B662" s="27"/>
      <c r="C662" s="28"/>
      <c r="D662" s="28"/>
    </row>
    <row r="663">
      <c r="A663" s="26"/>
      <c r="B663" s="27"/>
      <c r="C663" s="28"/>
      <c r="D663" s="28"/>
    </row>
    <row r="664">
      <c r="A664" s="26"/>
      <c r="B664" s="27"/>
      <c r="C664" s="28"/>
      <c r="D664" s="28"/>
    </row>
    <row r="665">
      <c r="A665" s="26"/>
      <c r="B665" s="27"/>
      <c r="C665" s="28"/>
      <c r="D665" s="28"/>
    </row>
    <row r="666">
      <c r="A666" s="26"/>
      <c r="B666" s="27"/>
      <c r="C666" s="28"/>
      <c r="D666" s="28"/>
    </row>
    <row r="667">
      <c r="A667" s="26"/>
      <c r="B667" s="27"/>
      <c r="C667" s="28"/>
      <c r="D667" s="28"/>
    </row>
    <row r="668">
      <c r="A668" s="26"/>
      <c r="B668" s="27"/>
      <c r="C668" s="28"/>
      <c r="D668" s="28"/>
    </row>
    <row r="669">
      <c r="A669" s="26"/>
      <c r="B669" s="27"/>
      <c r="C669" s="28"/>
      <c r="D669" s="28"/>
    </row>
    <row r="670">
      <c r="A670" s="26"/>
      <c r="B670" s="27"/>
      <c r="C670" s="28"/>
      <c r="D670" s="28"/>
    </row>
    <row r="671">
      <c r="A671" s="26"/>
      <c r="B671" s="27"/>
      <c r="C671" s="28"/>
      <c r="D671" s="28"/>
    </row>
    <row r="672">
      <c r="A672" s="26"/>
      <c r="B672" s="27"/>
      <c r="C672" s="28"/>
      <c r="D672" s="28"/>
    </row>
    <row r="673">
      <c r="A673" s="26"/>
      <c r="B673" s="27"/>
      <c r="C673" s="28"/>
      <c r="D673" s="28"/>
    </row>
    <row r="674">
      <c r="A674" s="26"/>
      <c r="B674" s="27"/>
      <c r="C674" s="28"/>
      <c r="D674" s="28"/>
    </row>
    <row r="675">
      <c r="A675" s="26"/>
      <c r="B675" s="27"/>
      <c r="C675" s="28"/>
      <c r="D675" s="28"/>
    </row>
    <row r="676">
      <c r="A676" s="26"/>
      <c r="B676" s="27"/>
      <c r="C676" s="28"/>
      <c r="D676" s="28"/>
    </row>
    <row r="677">
      <c r="A677" s="26"/>
      <c r="B677" s="27"/>
      <c r="C677" s="28"/>
      <c r="D677" s="28"/>
    </row>
    <row r="678">
      <c r="A678" s="26"/>
      <c r="B678" s="27"/>
      <c r="C678" s="28"/>
      <c r="D678" s="28"/>
    </row>
    <row r="679">
      <c r="A679" s="26"/>
      <c r="B679" s="27"/>
      <c r="C679" s="28"/>
      <c r="D679" s="28"/>
    </row>
    <row r="680">
      <c r="A680" s="26"/>
      <c r="B680" s="27"/>
      <c r="C680" s="28"/>
      <c r="D680" s="28"/>
    </row>
    <row r="681">
      <c r="A681" s="26"/>
      <c r="B681" s="27"/>
      <c r="C681" s="28"/>
      <c r="D681" s="28"/>
    </row>
    <row r="682">
      <c r="A682" s="26"/>
      <c r="B682" s="27"/>
      <c r="C682" s="28"/>
      <c r="D682" s="28"/>
    </row>
    <row r="683">
      <c r="A683" s="26"/>
      <c r="B683" s="27"/>
      <c r="C683" s="28"/>
      <c r="D683" s="28"/>
    </row>
    <row r="684">
      <c r="A684" s="26"/>
      <c r="B684" s="27"/>
      <c r="C684" s="28"/>
      <c r="D684" s="28"/>
    </row>
    <row r="685">
      <c r="A685" s="26"/>
      <c r="B685" s="27"/>
      <c r="C685" s="28"/>
      <c r="D685" s="28"/>
    </row>
    <row r="686">
      <c r="A686" s="26"/>
      <c r="B686" s="27"/>
      <c r="C686" s="28"/>
      <c r="D686" s="28"/>
    </row>
    <row r="687">
      <c r="A687" s="26"/>
      <c r="B687" s="27"/>
      <c r="C687" s="28"/>
      <c r="D687" s="28"/>
    </row>
    <row r="688">
      <c r="A688" s="26"/>
      <c r="B688" s="27"/>
      <c r="C688" s="28"/>
      <c r="D688" s="28"/>
    </row>
    <row r="689">
      <c r="A689" s="26"/>
      <c r="B689" s="27"/>
      <c r="C689" s="28"/>
      <c r="D689" s="28"/>
    </row>
    <row r="690">
      <c r="A690" s="26"/>
      <c r="B690" s="27"/>
      <c r="C690" s="28"/>
      <c r="D690" s="28"/>
    </row>
    <row r="691">
      <c r="A691" s="26"/>
      <c r="B691" s="27"/>
      <c r="C691" s="28"/>
      <c r="D691" s="28"/>
    </row>
    <row r="692">
      <c r="A692" s="26"/>
      <c r="B692" s="27"/>
      <c r="C692" s="28"/>
      <c r="D692" s="28"/>
    </row>
    <row r="693">
      <c r="A693" s="26"/>
      <c r="B693" s="27"/>
      <c r="C693" s="28"/>
      <c r="D693" s="28"/>
    </row>
    <row r="694">
      <c r="A694" s="26"/>
      <c r="B694" s="27"/>
      <c r="C694" s="28"/>
      <c r="D694" s="28"/>
    </row>
    <row r="695">
      <c r="A695" s="26"/>
      <c r="B695" s="27"/>
      <c r="C695" s="28"/>
      <c r="D695" s="28"/>
    </row>
    <row r="696">
      <c r="A696" s="26"/>
      <c r="B696" s="27"/>
      <c r="C696" s="28"/>
      <c r="D696" s="28"/>
    </row>
    <row r="697">
      <c r="A697" s="26"/>
      <c r="B697" s="27"/>
      <c r="C697" s="28"/>
      <c r="D697" s="28"/>
    </row>
    <row r="698">
      <c r="A698" s="26"/>
      <c r="B698" s="27"/>
      <c r="C698" s="28"/>
      <c r="D698" s="28"/>
    </row>
    <row r="699">
      <c r="A699" s="26"/>
      <c r="B699" s="27"/>
      <c r="C699" s="28"/>
      <c r="D699" s="28"/>
    </row>
    <row r="700">
      <c r="A700" s="26"/>
      <c r="B700" s="27"/>
      <c r="C700" s="28"/>
      <c r="D700" s="28"/>
    </row>
    <row r="701">
      <c r="A701" s="26"/>
      <c r="B701" s="27"/>
      <c r="C701" s="28"/>
      <c r="D701" s="28"/>
    </row>
    <row r="702">
      <c r="A702" s="26"/>
      <c r="B702" s="27"/>
      <c r="C702" s="28"/>
      <c r="D702" s="28"/>
    </row>
    <row r="703">
      <c r="A703" s="26"/>
      <c r="B703" s="27"/>
      <c r="C703" s="28"/>
      <c r="D703" s="28"/>
    </row>
    <row r="704">
      <c r="A704" s="26"/>
      <c r="B704" s="27"/>
      <c r="C704" s="28"/>
      <c r="D704" s="28"/>
    </row>
    <row r="705">
      <c r="A705" s="26"/>
      <c r="B705" s="27"/>
      <c r="C705" s="28"/>
      <c r="D705" s="28"/>
    </row>
    <row r="706">
      <c r="A706" s="26"/>
      <c r="B706" s="27"/>
      <c r="C706" s="28"/>
      <c r="D706" s="28"/>
    </row>
    <row r="707">
      <c r="A707" s="26"/>
      <c r="B707" s="27"/>
      <c r="C707" s="28"/>
      <c r="D707" s="28"/>
    </row>
    <row r="708">
      <c r="A708" s="26"/>
      <c r="B708" s="27"/>
      <c r="C708" s="28"/>
      <c r="D708" s="28"/>
    </row>
    <row r="709">
      <c r="A709" s="26"/>
      <c r="B709" s="27"/>
      <c r="C709" s="28"/>
      <c r="D709" s="28"/>
    </row>
    <row r="710">
      <c r="A710" s="26"/>
      <c r="B710" s="27"/>
      <c r="C710" s="28"/>
      <c r="D710" s="28"/>
    </row>
    <row r="711">
      <c r="A711" s="26"/>
      <c r="B711" s="27"/>
      <c r="C711" s="28"/>
      <c r="D711" s="28"/>
    </row>
    <row r="712">
      <c r="A712" s="26"/>
      <c r="B712" s="27"/>
      <c r="C712" s="28"/>
      <c r="D712" s="28"/>
    </row>
    <row r="713">
      <c r="A713" s="26"/>
      <c r="B713" s="27"/>
      <c r="C713" s="28"/>
      <c r="D713" s="28"/>
    </row>
    <row r="714">
      <c r="A714" s="26"/>
      <c r="B714" s="27"/>
      <c r="C714" s="28"/>
      <c r="D714" s="28"/>
    </row>
    <row r="715">
      <c r="A715" s="26"/>
      <c r="B715" s="27"/>
      <c r="C715" s="28"/>
      <c r="D715" s="28"/>
    </row>
    <row r="716">
      <c r="A716" s="26"/>
      <c r="B716" s="27"/>
      <c r="C716" s="28"/>
      <c r="D716" s="28"/>
    </row>
    <row r="717">
      <c r="A717" s="26"/>
      <c r="B717" s="27"/>
      <c r="C717" s="28"/>
      <c r="D717" s="28"/>
    </row>
    <row r="718">
      <c r="A718" s="26"/>
      <c r="B718" s="27"/>
      <c r="C718" s="28"/>
      <c r="D718" s="28"/>
    </row>
    <row r="719">
      <c r="A719" s="26"/>
      <c r="B719" s="27"/>
      <c r="C719" s="28"/>
      <c r="D719" s="28"/>
    </row>
    <row r="720">
      <c r="A720" s="26"/>
      <c r="B720" s="27"/>
      <c r="C720" s="28"/>
      <c r="D720" s="28"/>
    </row>
    <row r="721">
      <c r="A721" s="26"/>
      <c r="B721" s="27"/>
      <c r="C721" s="28"/>
      <c r="D721" s="28"/>
    </row>
    <row r="722">
      <c r="A722" s="26"/>
      <c r="B722" s="27"/>
      <c r="C722" s="28"/>
      <c r="D722" s="28"/>
    </row>
    <row r="723">
      <c r="A723" s="26"/>
      <c r="B723" s="27"/>
      <c r="C723" s="28"/>
      <c r="D723" s="28"/>
    </row>
    <row r="724">
      <c r="A724" s="26"/>
      <c r="B724" s="27"/>
      <c r="C724" s="28"/>
      <c r="D724" s="28"/>
    </row>
    <row r="725">
      <c r="A725" s="26"/>
      <c r="B725" s="27"/>
      <c r="C725" s="28"/>
      <c r="D725" s="28"/>
    </row>
    <row r="726">
      <c r="A726" s="26"/>
      <c r="B726" s="27"/>
      <c r="C726" s="28"/>
      <c r="D726" s="28"/>
    </row>
    <row r="727">
      <c r="A727" s="26"/>
      <c r="B727" s="27"/>
      <c r="C727" s="28"/>
      <c r="D727" s="28"/>
    </row>
    <row r="728">
      <c r="A728" s="26"/>
      <c r="B728" s="27"/>
      <c r="C728" s="28"/>
      <c r="D728" s="28"/>
    </row>
    <row r="729">
      <c r="A729" s="26"/>
      <c r="B729" s="27"/>
      <c r="C729" s="28"/>
      <c r="D729" s="28"/>
    </row>
    <row r="730">
      <c r="A730" s="26"/>
      <c r="B730" s="27"/>
      <c r="C730" s="28"/>
      <c r="D730" s="28"/>
    </row>
    <row r="731">
      <c r="A731" s="26"/>
      <c r="B731" s="27"/>
      <c r="C731" s="28"/>
      <c r="D731" s="28"/>
    </row>
    <row r="732">
      <c r="A732" s="26"/>
      <c r="B732" s="27"/>
      <c r="C732" s="28"/>
      <c r="D732" s="28"/>
    </row>
    <row r="733">
      <c r="A733" s="26"/>
      <c r="B733" s="27"/>
      <c r="C733" s="28"/>
      <c r="D733" s="28"/>
    </row>
    <row r="734">
      <c r="A734" s="26"/>
      <c r="B734" s="27"/>
      <c r="C734" s="28"/>
      <c r="D734" s="28"/>
    </row>
    <row r="735">
      <c r="A735" s="26"/>
      <c r="B735" s="27"/>
      <c r="C735" s="28"/>
      <c r="D735" s="28"/>
    </row>
    <row r="736">
      <c r="A736" s="26"/>
      <c r="B736" s="27"/>
      <c r="C736" s="28"/>
      <c r="D736" s="28"/>
    </row>
    <row r="737">
      <c r="A737" s="26"/>
      <c r="B737" s="27"/>
      <c r="C737" s="28"/>
      <c r="D737" s="28"/>
    </row>
    <row r="738">
      <c r="A738" s="26"/>
      <c r="B738" s="27"/>
      <c r="C738" s="28"/>
      <c r="D738" s="28"/>
    </row>
    <row r="739">
      <c r="A739" s="26"/>
      <c r="B739" s="27"/>
      <c r="C739" s="28"/>
      <c r="D739" s="28"/>
    </row>
    <row r="740">
      <c r="A740" s="26"/>
      <c r="B740" s="27"/>
      <c r="C740" s="28"/>
      <c r="D740" s="28"/>
    </row>
    <row r="741">
      <c r="A741" s="26"/>
      <c r="B741" s="27"/>
      <c r="C741" s="28"/>
      <c r="D741" s="28"/>
    </row>
    <row r="742">
      <c r="A742" s="26"/>
      <c r="B742" s="27"/>
      <c r="C742" s="28"/>
      <c r="D742" s="28"/>
    </row>
    <row r="743">
      <c r="A743" s="26"/>
      <c r="B743" s="27"/>
      <c r="C743" s="28"/>
      <c r="D743" s="28"/>
    </row>
    <row r="744">
      <c r="A744" s="26"/>
      <c r="B744" s="27"/>
      <c r="C744" s="28"/>
      <c r="D744" s="28"/>
    </row>
    <row r="745">
      <c r="A745" s="26"/>
      <c r="B745" s="27"/>
      <c r="C745" s="28"/>
      <c r="D745" s="28"/>
    </row>
    <row r="746">
      <c r="A746" s="26"/>
      <c r="B746" s="27"/>
      <c r="C746" s="28"/>
      <c r="D746" s="28"/>
    </row>
    <row r="747">
      <c r="A747" s="26"/>
      <c r="B747" s="27"/>
      <c r="C747" s="28"/>
      <c r="D747" s="28"/>
    </row>
    <row r="748">
      <c r="A748" s="26"/>
      <c r="B748" s="27"/>
      <c r="C748" s="28"/>
      <c r="D748" s="28"/>
    </row>
    <row r="749">
      <c r="A749" s="26"/>
      <c r="B749" s="27"/>
      <c r="C749" s="28"/>
      <c r="D749" s="28"/>
    </row>
    <row r="750">
      <c r="A750" s="26"/>
      <c r="B750" s="27"/>
      <c r="C750" s="28"/>
      <c r="D750" s="28"/>
    </row>
    <row r="751">
      <c r="A751" s="26"/>
      <c r="B751" s="27"/>
      <c r="C751" s="28"/>
      <c r="D751" s="28"/>
    </row>
    <row r="752">
      <c r="A752" s="26"/>
      <c r="B752" s="27"/>
      <c r="C752" s="28"/>
      <c r="D752" s="28"/>
    </row>
    <row r="753">
      <c r="A753" s="26"/>
      <c r="B753" s="27"/>
      <c r="C753" s="28"/>
      <c r="D753" s="28"/>
    </row>
    <row r="754">
      <c r="A754" s="26"/>
      <c r="B754" s="27"/>
      <c r="C754" s="28"/>
      <c r="D754" s="28"/>
    </row>
    <row r="755">
      <c r="A755" s="26"/>
      <c r="B755" s="27"/>
      <c r="C755" s="28"/>
      <c r="D755" s="28"/>
    </row>
    <row r="756">
      <c r="A756" s="26"/>
      <c r="B756" s="27"/>
      <c r="C756" s="28"/>
      <c r="D756" s="28"/>
    </row>
    <row r="757">
      <c r="A757" s="26"/>
      <c r="B757" s="27"/>
      <c r="C757" s="28"/>
      <c r="D757" s="28"/>
    </row>
    <row r="758">
      <c r="A758" s="26"/>
      <c r="B758" s="27"/>
      <c r="C758" s="28"/>
      <c r="D758" s="28"/>
    </row>
    <row r="759">
      <c r="A759" s="26"/>
      <c r="B759" s="27"/>
      <c r="C759" s="28"/>
      <c r="D759" s="28"/>
    </row>
    <row r="760">
      <c r="A760" s="26"/>
      <c r="B760" s="27"/>
      <c r="C760" s="28"/>
      <c r="D760" s="28"/>
    </row>
    <row r="761">
      <c r="A761" s="26"/>
      <c r="B761" s="27"/>
      <c r="C761" s="28"/>
      <c r="D761" s="28"/>
    </row>
    <row r="762">
      <c r="A762" s="26"/>
      <c r="B762" s="27"/>
      <c r="C762" s="28"/>
      <c r="D762" s="28"/>
    </row>
    <row r="763">
      <c r="A763" s="26"/>
      <c r="B763" s="27"/>
      <c r="C763" s="28"/>
      <c r="D763" s="28"/>
    </row>
    <row r="764">
      <c r="A764" s="26"/>
      <c r="B764" s="27"/>
      <c r="C764" s="28"/>
      <c r="D764" s="28"/>
    </row>
    <row r="765">
      <c r="A765" s="26"/>
      <c r="B765" s="27"/>
      <c r="C765" s="28"/>
      <c r="D765" s="28"/>
    </row>
    <row r="766">
      <c r="A766" s="26"/>
      <c r="B766" s="27"/>
      <c r="C766" s="28"/>
      <c r="D766" s="28"/>
    </row>
    <row r="767">
      <c r="A767" s="26"/>
      <c r="B767" s="27"/>
      <c r="C767" s="28"/>
      <c r="D767" s="28"/>
    </row>
    <row r="768">
      <c r="A768" s="26"/>
      <c r="B768" s="27"/>
      <c r="C768" s="28"/>
      <c r="D768" s="28"/>
    </row>
    <row r="769">
      <c r="A769" s="26"/>
      <c r="B769" s="27"/>
      <c r="C769" s="28"/>
      <c r="D769" s="28"/>
    </row>
    <row r="770">
      <c r="A770" s="26"/>
      <c r="B770" s="27"/>
      <c r="C770" s="28"/>
      <c r="D770" s="28"/>
    </row>
    <row r="771">
      <c r="A771" s="26"/>
      <c r="B771" s="27"/>
      <c r="C771" s="28"/>
      <c r="D771" s="28"/>
    </row>
    <row r="772">
      <c r="A772" s="26"/>
      <c r="B772" s="27"/>
      <c r="C772" s="28"/>
      <c r="D772" s="28"/>
    </row>
    <row r="773">
      <c r="A773" s="26"/>
      <c r="B773" s="27"/>
      <c r="C773" s="28"/>
      <c r="D773" s="28"/>
    </row>
    <row r="774">
      <c r="A774" s="26"/>
      <c r="B774" s="27"/>
      <c r="C774" s="28"/>
      <c r="D774" s="28"/>
    </row>
    <row r="775">
      <c r="A775" s="26"/>
      <c r="B775" s="27"/>
      <c r="C775" s="28"/>
      <c r="D775" s="28"/>
    </row>
    <row r="776">
      <c r="A776" s="26"/>
      <c r="B776" s="27"/>
      <c r="C776" s="28"/>
      <c r="D776" s="28"/>
    </row>
    <row r="777">
      <c r="A777" s="26"/>
      <c r="B777" s="27"/>
      <c r="C777" s="28"/>
      <c r="D777" s="28"/>
    </row>
    <row r="778">
      <c r="A778" s="26"/>
      <c r="B778" s="27"/>
      <c r="C778" s="28"/>
      <c r="D778" s="28"/>
    </row>
    <row r="779">
      <c r="A779" s="26"/>
      <c r="B779" s="27"/>
      <c r="C779" s="28"/>
      <c r="D779" s="28"/>
    </row>
    <row r="780">
      <c r="A780" s="26"/>
      <c r="B780" s="27"/>
      <c r="C780" s="28"/>
      <c r="D780" s="28"/>
    </row>
    <row r="781">
      <c r="A781" s="26"/>
      <c r="B781" s="27"/>
      <c r="C781" s="28"/>
      <c r="D781" s="28"/>
    </row>
    <row r="782">
      <c r="A782" s="26"/>
      <c r="B782" s="27"/>
      <c r="C782" s="28"/>
      <c r="D782" s="28"/>
    </row>
    <row r="783">
      <c r="A783" s="26"/>
      <c r="B783" s="27"/>
      <c r="C783" s="28"/>
      <c r="D783" s="28"/>
    </row>
    <row r="784">
      <c r="A784" s="26"/>
      <c r="B784" s="27"/>
      <c r="C784" s="28"/>
      <c r="D784" s="28"/>
    </row>
    <row r="785">
      <c r="A785" s="26"/>
      <c r="B785" s="27"/>
      <c r="C785" s="28"/>
      <c r="D785" s="28"/>
    </row>
    <row r="786">
      <c r="A786" s="26"/>
      <c r="B786" s="27"/>
      <c r="C786" s="28"/>
      <c r="D786" s="28"/>
    </row>
    <row r="787">
      <c r="A787" s="26"/>
      <c r="B787" s="27"/>
      <c r="C787" s="28"/>
      <c r="D787" s="28"/>
    </row>
    <row r="788">
      <c r="A788" s="26"/>
      <c r="B788" s="27"/>
      <c r="C788" s="28"/>
      <c r="D788" s="28"/>
    </row>
    <row r="789">
      <c r="A789" s="26"/>
      <c r="B789" s="27"/>
      <c r="C789" s="28"/>
      <c r="D789" s="28"/>
    </row>
    <row r="790">
      <c r="A790" s="26"/>
      <c r="B790" s="27"/>
      <c r="C790" s="28"/>
      <c r="D790" s="28"/>
    </row>
    <row r="791">
      <c r="A791" s="26"/>
      <c r="B791" s="27"/>
      <c r="C791" s="28"/>
      <c r="D791" s="28"/>
    </row>
    <row r="792">
      <c r="A792" s="26"/>
      <c r="B792" s="27"/>
      <c r="C792" s="28"/>
      <c r="D792" s="28"/>
    </row>
    <row r="793">
      <c r="A793" s="26"/>
      <c r="B793" s="27"/>
      <c r="C793" s="28"/>
      <c r="D793" s="28"/>
    </row>
    <row r="794">
      <c r="A794" s="26"/>
      <c r="B794" s="27"/>
      <c r="C794" s="28"/>
      <c r="D794" s="28"/>
    </row>
    <row r="795">
      <c r="A795" s="26"/>
      <c r="B795" s="27"/>
      <c r="C795" s="28"/>
      <c r="D795" s="28"/>
    </row>
    <row r="796">
      <c r="A796" s="26"/>
      <c r="B796" s="27"/>
      <c r="C796" s="28"/>
      <c r="D796" s="28"/>
    </row>
    <row r="797">
      <c r="A797" s="26"/>
      <c r="B797" s="27"/>
      <c r="C797" s="28"/>
      <c r="D797" s="28"/>
    </row>
    <row r="798">
      <c r="A798" s="26"/>
      <c r="B798" s="27"/>
      <c r="C798" s="28"/>
      <c r="D798" s="28"/>
    </row>
    <row r="799">
      <c r="A799" s="26"/>
      <c r="B799" s="27"/>
      <c r="C799" s="28"/>
      <c r="D799" s="28"/>
    </row>
    <row r="800">
      <c r="A800" s="26"/>
      <c r="B800" s="27"/>
      <c r="C800" s="28"/>
      <c r="D800" s="28"/>
    </row>
    <row r="801">
      <c r="A801" s="26"/>
      <c r="B801" s="27"/>
      <c r="C801" s="28"/>
      <c r="D801" s="28"/>
    </row>
    <row r="802">
      <c r="A802" s="26"/>
      <c r="B802" s="27"/>
      <c r="C802" s="28"/>
      <c r="D802" s="28"/>
    </row>
    <row r="803">
      <c r="A803" s="26"/>
      <c r="B803" s="27"/>
      <c r="C803" s="28"/>
      <c r="D803" s="28"/>
    </row>
    <row r="804">
      <c r="A804" s="26"/>
      <c r="B804" s="27"/>
      <c r="C804" s="28"/>
      <c r="D804" s="28"/>
    </row>
    <row r="805">
      <c r="A805" s="26"/>
      <c r="B805" s="27"/>
      <c r="C805" s="28"/>
      <c r="D805" s="28"/>
    </row>
    <row r="806">
      <c r="A806" s="26"/>
      <c r="B806" s="27"/>
      <c r="C806" s="28"/>
      <c r="D806" s="28"/>
    </row>
    <row r="807">
      <c r="A807" s="26"/>
      <c r="B807" s="27"/>
      <c r="C807" s="28"/>
      <c r="D807" s="28"/>
    </row>
    <row r="808">
      <c r="A808" s="26"/>
      <c r="B808" s="27"/>
      <c r="C808" s="28"/>
      <c r="D808" s="28"/>
    </row>
    <row r="809">
      <c r="A809" s="26"/>
      <c r="B809" s="27"/>
      <c r="C809" s="28"/>
      <c r="D809" s="28"/>
    </row>
    <row r="810">
      <c r="A810" s="26"/>
      <c r="B810" s="27"/>
      <c r="C810" s="28"/>
      <c r="D810" s="28"/>
    </row>
    <row r="811">
      <c r="A811" s="26"/>
      <c r="B811" s="27"/>
      <c r="C811" s="28"/>
      <c r="D811" s="28"/>
    </row>
    <row r="812">
      <c r="A812" s="26"/>
      <c r="B812" s="27"/>
      <c r="C812" s="28"/>
      <c r="D812" s="28"/>
    </row>
    <row r="813">
      <c r="A813" s="26"/>
      <c r="B813" s="27"/>
      <c r="C813" s="28"/>
      <c r="D813" s="28"/>
    </row>
    <row r="814">
      <c r="A814" s="26"/>
      <c r="B814" s="27"/>
      <c r="C814" s="28"/>
      <c r="D814" s="28"/>
    </row>
    <row r="815">
      <c r="A815" s="26"/>
      <c r="B815" s="27"/>
      <c r="C815" s="28"/>
      <c r="D815" s="28"/>
    </row>
    <row r="816">
      <c r="A816" s="26"/>
      <c r="B816" s="27"/>
      <c r="C816" s="28"/>
      <c r="D816" s="28"/>
    </row>
    <row r="817">
      <c r="A817" s="26"/>
      <c r="B817" s="27"/>
      <c r="C817" s="28"/>
      <c r="D817" s="28"/>
    </row>
    <row r="818">
      <c r="A818" s="26"/>
      <c r="B818" s="27"/>
      <c r="C818" s="28"/>
      <c r="D818" s="28"/>
    </row>
    <row r="819">
      <c r="A819" s="26"/>
      <c r="B819" s="27"/>
      <c r="C819" s="28"/>
      <c r="D819" s="28"/>
    </row>
    <row r="820">
      <c r="A820" s="26"/>
      <c r="B820" s="27"/>
      <c r="C820" s="28"/>
      <c r="D820" s="28"/>
    </row>
    <row r="821">
      <c r="A821" s="26"/>
      <c r="B821" s="27"/>
      <c r="C821" s="28"/>
      <c r="D821" s="28"/>
    </row>
    <row r="822">
      <c r="A822" s="26"/>
      <c r="B822" s="27"/>
      <c r="C822" s="28"/>
      <c r="D822" s="28"/>
    </row>
    <row r="823">
      <c r="A823" s="26"/>
      <c r="B823" s="27"/>
      <c r="C823" s="28"/>
      <c r="D823" s="28"/>
    </row>
    <row r="824">
      <c r="A824" s="26"/>
      <c r="B824" s="27"/>
      <c r="C824" s="28"/>
      <c r="D824" s="28"/>
    </row>
    <row r="825">
      <c r="A825" s="26"/>
      <c r="B825" s="27"/>
      <c r="C825" s="28"/>
      <c r="D825" s="28"/>
    </row>
    <row r="826">
      <c r="A826" s="26"/>
      <c r="B826" s="27"/>
      <c r="C826" s="28"/>
      <c r="D826" s="28"/>
    </row>
    <row r="827">
      <c r="A827" s="26"/>
      <c r="B827" s="27"/>
      <c r="C827" s="28"/>
      <c r="D827" s="28"/>
    </row>
    <row r="828">
      <c r="A828" s="26"/>
      <c r="B828" s="27"/>
      <c r="C828" s="28"/>
      <c r="D828" s="28"/>
    </row>
    <row r="829">
      <c r="A829" s="26"/>
      <c r="B829" s="27"/>
      <c r="C829" s="28"/>
      <c r="D829" s="28"/>
    </row>
    <row r="830">
      <c r="A830" s="26"/>
      <c r="B830" s="27"/>
      <c r="C830" s="28"/>
      <c r="D830" s="28"/>
    </row>
    <row r="831">
      <c r="A831" s="26"/>
      <c r="B831" s="27"/>
      <c r="C831" s="28"/>
      <c r="D831" s="28"/>
    </row>
    <row r="832">
      <c r="A832" s="26"/>
      <c r="B832" s="27"/>
      <c r="C832" s="28"/>
      <c r="D832" s="28"/>
    </row>
    <row r="833">
      <c r="A833" s="26"/>
      <c r="B833" s="27"/>
      <c r="C833" s="28"/>
      <c r="D833" s="28"/>
    </row>
    <row r="834">
      <c r="A834" s="26"/>
      <c r="B834" s="27"/>
      <c r="C834" s="28"/>
      <c r="D834" s="28"/>
    </row>
    <row r="835">
      <c r="A835" s="26"/>
      <c r="B835" s="27"/>
      <c r="C835" s="28"/>
      <c r="D835" s="28"/>
    </row>
    <row r="836">
      <c r="A836" s="26"/>
      <c r="B836" s="27"/>
      <c r="C836" s="28"/>
      <c r="D836" s="28"/>
    </row>
    <row r="837">
      <c r="A837" s="26"/>
      <c r="B837" s="27"/>
      <c r="C837" s="28"/>
      <c r="D837" s="28"/>
    </row>
    <row r="838">
      <c r="A838" s="26"/>
      <c r="B838" s="27"/>
      <c r="C838" s="28"/>
      <c r="D838" s="28"/>
    </row>
    <row r="839">
      <c r="A839" s="26"/>
      <c r="B839" s="27"/>
      <c r="C839" s="28"/>
      <c r="D839" s="28"/>
    </row>
    <row r="840">
      <c r="A840" s="26"/>
      <c r="B840" s="27"/>
      <c r="C840" s="28"/>
      <c r="D840" s="28"/>
    </row>
    <row r="841">
      <c r="A841" s="26"/>
      <c r="B841" s="27"/>
      <c r="C841" s="28"/>
      <c r="D841" s="28"/>
    </row>
    <row r="842">
      <c r="A842" s="26"/>
      <c r="B842" s="27"/>
      <c r="C842" s="28"/>
      <c r="D842" s="28"/>
    </row>
    <row r="843">
      <c r="A843" s="26"/>
      <c r="B843" s="27"/>
      <c r="C843" s="28"/>
      <c r="D843" s="28"/>
    </row>
    <row r="844">
      <c r="A844" s="26"/>
      <c r="B844" s="27"/>
      <c r="C844" s="28"/>
      <c r="D844" s="28"/>
    </row>
    <row r="845">
      <c r="A845" s="26"/>
      <c r="B845" s="27"/>
      <c r="C845" s="28"/>
      <c r="D845" s="28"/>
    </row>
    <row r="846">
      <c r="A846" s="26"/>
      <c r="B846" s="27"/>
      <c r="C846" s="28"/>
      <c r="D846" s="28"/>
    </row>
    <row r="847">
      <c r="A847" s="26"/>
      <c r="B847" s="27"/>
      <c r="C847" s="28"/>
      <c r="D847" s="28"/>
    </row>
    <row r="848">
      <c r="A848" s="26"/>
      <c r="B848" s="27"/>
      <c r="C848" s="28"/>
      <c r="D848" s="28"/>
    </row>
    <row r="849">
      <c r="A849" s="26"/>
      <c r="B849" s="27"/>
      <c r="C849" s="28"/>
      <c r="D849" s="28"/>
    </row>
    <row r="850">
      <c r="A850" s="26"/>
      <c r="B850" s="27"/>
      <c r="C850" s="28"/>
      <c r="D850" s="28"/>
    </row>
    <row r="851">
      <c r="A851" s="26"/>
      <c r="B851" s="27"/>
      <c r="C851" s="28"/>
      <c r="D851" s="28"/>
    </row>
    <row r="852">
      <c r="A852" s="26"/>
      <c r="B852" s="27"/>
      <c r="C852" s="28"/>
      <c r="D852" s="28"/>
    </row>
    <row r="853">
      <c r="A853" s="26"/>
      <c r="B853" s="27"/>
      <c r="C853" s="28"/>
      <c r="D853" s="28"/>
    </row>
    <row r="854">
      <c r="A854" s="26"/>
      <c r="B854" s="27"/>
      <c r="C854" s="28"/>
      <c r="D854" s="28"/>
    </row>
    <row r="855">
      <c r="A855" s="26"/>
      <c r="B855" s="27"/>
      <c r="C855" s="28"/>
      <c r="D855" s="28"/>
    </row>
    <row r="856">
      <c r="A856" s="26"/>
      <c r="B856" s="27"/>
      <c r="C856" s="28"/>
      <c r="D856" s="28"/>
    </row>
    <row r="857">
      <c r="A857" s="26"/>
      <c r="B857" s="27"/>
      <c r="C857" s="28"/>
      <c r="D857" s="28"/>
    </row>
    <row r="858">
      <c r="A858" s="26"/>
      <c r="B858" s="27"/>
      <c r="C858" s="28"/>
      <c r="D858" s="28"/>
    </row>
    <row r="859">
      <c r="A859" s="26"/>
      <c r="B859" s="27"/>
      <c r="C859" s="28"/>
      <c r="D859" s="28"/>
    </row>
    <row r="860">
      <c r="A860" s="26"/>
      <c r="B860" s="27"/>
      <c r="C860" s="28"/>
      <c r="D860" s="28"/>
    </row>
    <row r="861">
      <c r="A861" s="26"/>
      <c r="B861" s="27"/>
      <c r="C861" s="28"/>
      <c r="D861" s="28"/>
    </row>
    <row r="862">
      <c r="A862" s="26"/>
      <c r="B862" s="27"/>
      <c r="C862" s="28"/>
      <c r="D862" s="28"/>
    </row>
    <row r="863">
      <c r="A863" s="26"/>
      <c r="B863" s="27"/>
      <c r="C863" s="28"/>
      <c r="D863" s="28"/>
    </row>
    <row r="864">
      <c r="A864" s="26"/>
      <c r="B864" s="27"/>
      <c r="C864" s="28"/>
      <c r="D864" s="28"/>
    </row>
    <row r="865">
      <c r="A865" s="26"/>
      <c r="B865" s="27"/>
      <c r="C865" s="28"/>
      <c r="D865" s="28"/>
    </row>
    <row r="866">
      <c r="A866" s="26"/>
      <c r="B866" s="27"/>
      <c r="C866" s="28"/>
      <c r="D866" s="28"/>
    </row>
    <row r="867">
      <c r="A867" s="26"/>
      <c r="B867" s="27"/>
      <c r="C867" s="28"/>
      <c r="D867" s="28"/>
    </row>
    <row r="868">
      <c r="A868" s="26"/>
      <c r="B868" s="27"/>
      <c r="C868" s="28"/>
      <c r="D868" s="28"/>
    </row>
    <row r="869">
      <c r="A869" s="26"/>
      <c r="B869" s="27"/>
      <c r="C869" s="28"/>
      <c r="D869" s="28"/>
    </row>
    <row r="870">
      <c r="A870" s="26"/>
      <c r="B870" s="27"/>
      <c r="C870" s="28"/>
      <c r="D870" s="28"/>
    </row>
    <row r="871">
      <c r="A871" s="26"/>
      <c r="B871" s="27"/>
      <c r="C871" s="28"/>
      <c r="D871" s="28"/>
    </row>
    <row r="872">
      <c r="A872" s="26"/>
      <c r="B872" s="27"/>
      <c r="C872" s="28"/>
      <c r="D872" s="28"/>
    </row>
    <row r="873">
      <c r="A873" s="26"/>
      <c r="B873" s="27"/>
      <c r="C873" s="28"/>
      <c r="D873" s="28"/>
    </row>
    <row r="874">
      <c r="A874" s="26"/>
      <c r="B874" s="27"/>
      <c r="C874" s="28"/>
      <c r="D874" s="28"/>
    </row>
    <row r="875">
      <c r="A875" s="26"/>
      <c r="B875" s="27"/>
      <c r="C875" s="28"/>
      <c r="D875" s="28"/>
    </row>
    <row r="876">
      <c r="A876" s="26"/>
      <c r="B876" s="27"/>
      <c r="C876" s="28"/>
      <c r="D876" s="28"/>
    </row>
    <row r="877">
      <c r="A877" s="26"/>
      <c r="B877" s="27"/>
      <c r="C877" s="28"/>
      <c r="D877" s="28"/>
    </row>
    <row r="878">
      <c r="A878" s="26"/>
      <c r="B878" s="27"/>
      <c r="C878" s="28"/>
      <c r="D878" s="28"/>
    </row>
    <row r="879">
      <c r="A879" s="26"/>
      <c r="B879" s="27"/>
      <c r="C879" s="28"/>
      <c r="D879" s="28"/>
    </row>
    <row r="880">
      <c r="A880" s="26"/>
      <c r="B880" s="27"/>
      <c r="C880" s="28"/>
      <c r="D880" s="28"/>
    </row>
    <row r="881">
      <c r="A881" s="26"/>
      <c r="B881" s="27"/>
      <c r="C881" s="28"/>
      <c r="D881" s="28"/>
    </row>
    <row r="882">
      <c r="A882" s="26"/>
      <c r="B882" s="27"/>
      <c r="C882" s="28"/>
      <c r="D882" s="28"/>
    </row>
    <row r="883">
      <c r="A883" s="26"/>
      <c r="B883" s="27"/>
      <c r="C883" s="28"/>
      <c r="D883" s="28"/>
    </row>
    <row r="884">
      <c r="A884" s="26"/>
      <c r="B884" s="27"/>
      <c r="C884" s="28"/>
      <c r="D884" s="28"/>
    </row>
    <row r="885">
      <c r="A885" s="26"/>
      <c r="B885" s="27"/>
      <c r="C885" s="28"/>
      <c r="D885" s="28"/>
    </row>
    <row r="886">
      <c r="A886" s="26"/>
      <c r="B886" s="27"/>
      <c r="C886" s="28"/>
      <c r="D886" s="28"/>
    </row>
    <row r="887">
      <c r="A887" s="26"/>
      <c r="B887" s="27"/>
      <c r="C887" s="28"/>
      <c r="D887" s="28"/>
    </row>
    <row r="888">
      <c r="A888" s="26"/>
      <c r="B888" s="27"/>
      <c r="C888" s="28"/>
      <c r="D888" s="28"/>
    </row>
    <row r="889">
      <c r="A889" s="26"/>
      <c r="B889" s="27"/>
      <c r="C889" s="28"/>
      <c r="D889" s="28"/>
    </row>
    <row r="890">
      <c r="A890" s="26"/>
      <c r="B890" s="27"/>
      <c r="C890" s="28"/>
      <c r="D890" s="28"/>
    </row>
    <row r="891">
      <c r="A891" s="26"/>
      <c r="B891" s="27"/>
      <c r="C891" s="28"/>
      <c r="D891" s="28"/>
    </row>
    <row r="892">
      <c r="A892" s="26"/>
      <c r="B892" s="27"/>
      <c r="C892" s="28"/>
      <c r="D892" s="28"/>
    </row>
    <row r="893">
      <c r="A893" s="26"/>
      <c r="B893" s="27"/>
      <c r="C893" s="28"/>
      <c r="D893" s="28"/>
    </row>
    <row r="894">
      <c r="A894" s="26"/>
      <c r="B894" s="27"/>
      <c r="C894" s="28"/>
      <c r="D894" s="28"/>
    </row>
    <row r="895">
      <c r="A895" s="26"/>
      <c r="B895" s="27"/>
      <c r="C895" s="28"/>
      <c r="D895" s="28"/>
    </row>
    <row r="896">
      <c r="A896" s="26"/>
      <c r="B896" s="27"/>
      <c r="C896" s="28"/>
      <c r="D896" s="28"/>
    </row>
    <row r="897">
      <c r="A897" s="26"/>
      <c r="B897" s="27"/>
      <c r="C897" s="28"/>
      <c r="D897" s="28"/>
    </row>
    <row r="898">
      <c r="A898" s="26"/>
      <c r="B898" s="27"/>
      <c r="C898" s="28"/>
      <c r="D898" s="28"/>
    </row>
    <row r="899">
      <c r="A899" s="26"/>
      <c r="B899" s="27"/>
      <c r="C899" s="28"/>
      <c r="D899" s="28"/>
    </row>
    <row r="900">
      <c r="A900" s="26"/>
      <c r="B900" s="27"/>
      <c r="C900" s="28"/>
      <c r="D900" s="28"/>
    </row>
    <row r="901">
      <c r="A901" s="26"/>
      <c r="B901" s="27"/>
      <c r="C901" s="28"/>
      <c r="D901" s="28"/>
    </row>
    <row r="902">
      <c r="A902" s="26"/>
      <c r="B902" s="27"/>
      <c r="C902" s="28"/>
      <c r="D902" s="28"/>
    </row>
    <row r="903">
      <c r="A903" s="26"/>
      <c r="B903" s="27"/>
      <c r="C903" s="28"/>
      <c r="D903" s="28"/>
    </row>
    <row r="904">
      <c r="A904" s="26"/>
      <c r="B904" s="27"/>
      <c r="C904" s="28"/>
      <c r="D904" s="28"/>
    </row>
    <row r="905">
      <c r="A905" s="26"/>
      <c r="B905" s="27"/>
      <c r="C905" s="28"/>
      <c r="D905" s="28"/>
    </row>
    <row r="906">
      <c r="A906" s="26"/>
      <c r="B906" s="27"/>
      <c r="C906" s="28"/>
      <c r="D906" s="28"/>
    </row>
    <row r="907">
      <c r="A907" s="26"/>
      <c r="B907" s="27"/>
      <c r="C907" s="28"/>
      <c r="D907" s="28"/>
    </row>
    <row r="908">
      <c r="A908" s="26"/>
      <c r="B908" s="27"/>
      <c r="C908" s="28"/>
      <c r="D908" s="28"/>
    </row>
    <row r="909">
      <c r="A909" s="26"/>
      <c r="B909" s="27"/>
      <c r="C909" s="28"/>
      <c r="D909" s="28"/>
    </row>
    <row r="910">
      <c r="A910" s="26"/>
      <c r="B910" s="27"/>
      <c r="C910" s="28"/>
      <c r="D910" s="28"/>
    </row>
    <row r="911">
      <c r="A911" s="26"/>
      <c r="B911" s="27"/>
      <c r="C911" s="28"/>
      <c r="D911" s="28"/>
    </row>
    <row r="912">
      <c r="A912" s="26"/>
      <c r="B912" s="27"/>
      <c r="C912" s="28"/>
      <c r="D912" s="28"/>
    </row>
    <row r="913">
      <c r="A913" s="26"/>
      <c r="B913" s="27"/>
      <c r="C913" s="28"/>
      <c r="D913" s="28"/>
    </row>
    <row r="914">
      <c r="A914" s="26"/>
      <c r="B914" s="27"/>
      <c r="C914" s="28"/>
      <c r="D914" s="28"/>
    </row>
    <row r="915">
      <c r="A915" s="26"/>
      <c r="B915" s="27"/>
      <c r="C915" s="28"/>
      <c r="D915" s="28"/>
    </row>
    <row r="916">
      <c r="A916" s="26"/>
      <c r="B916" s="27"/>
      <c r="C916" s="28"/>
      <c r="D916" s="28"/>
    </row>
    <row r="917">
      <c r="A917" s="26"/>
      <c r="B917" s="27"/>
      <c r="C917" s="28"/>
      <c r="D917" s="28"/>
    </row>
    <row r="918">
      <c r="A918" s="26"/>
      <c r="B918" s="27"/>
      <c r="C918" s="28"/>
      <c r="D918" s="28"/>
    </row>
    <row r="919">
      <c r="A919" s="26"/>
      <c r="B919" s="27"/>
      <c r="C919" s="28"/>
      <c r="D919" s="28"/>
    </row>
    <row r="920">
      <c r="A920" s="26"/>
      <c r="B920" s="27"/>
      <c r="C920" s="28"/>
      <c r="D920" s="28"/>
    </row>
    <row r="921">
      <c r="A921" s="26"/>
      <c r="B921" s="27"/>
      <c r="C921" s="28"/>
      <c r="D921" s="28"/>
    </row>
    <row r="922">
      <c r="A922" s="26"/>
      <c r="B922" s="27"/>
      <c r="C922" s="28"/>
      <c r="D922" s="28"/>
    </row>
    <row r="923">
      <c r="A923" s="26"/>
      <c r="B923" s="27"/>
      <c r="C923" s="28"/>
      <c r="D923" s="28"/>
    </row>
    <row r="924">
      <c r="A924" s="26"/>
      <c r="B924" s="27"/>
      <c r="C924" s="28"/>
      <c r="D924" s="28"/>
    </row>
    <row r="925">
      <c r="A925" s="26"/>
      <c r="B925" s="27"/>
      <c r="C925" s="28"/>
      <c r="D925" s="28"/>
    </row>
    <row r="926">
      <c r="A926" s="26"/>
      <c r="B926" s="27"/>
      <c r="C926" s="28"/>
      <c r="D926" s="28"/>
    </row>
    <row r="927">
      <c r="A927" s="26"/>
      <c r="B927" s="27"/>
      <c r="C927" s="28"/>
      <c r="D927" s="28"/>
    </row>
    <row r="928">
      <c r="A928" s="26"/>
      <c r="B928" s="27"/>
      <c r="C928" s="28"/>
      <c r="D928" s="28"/>
    </row>
    <row r="929">
      <c r="A929" s="26"/>
      <c r="B929" s="27"/>
      <c r="C929" s="28"/>
      <c r="D929" s="28"/>
    </row>
    <row r="930">
      <c r="A930" s="26"/>
      <c r="B930" s="27"/>
      <c r="C930" s="28"/>
      <c r="D930" s="28"/>
    </row>
    <row r="931">
      <c r="A931" s="26"/>
      <c r="B931" s="27"/>
      <c r="C931" s="28"/>
      <c r="D931" s="28"/>
    </row>
    <row r="932">
      <c r="A932" s="26"/>
      <c r="B932" s="27"/>
      <c r="C932" s="28"/>
      <c r="D932" s="28"/>
    </row>
    <row r="933">
      <c r="A933" s="26"/>
      <c r="B933" s="27"/>
      <c r="C933" s="28"/>
      <c r="D933" s="28"/>
    </row>
    <row r="934">
      <c r="A934" s="26"/>
      <c r="B934" s="27"/>
      <c r="C934" s="28"/>
      <c r="D934" s="28"/>
    </row>
    <row r="935">
      <c r="A935" s="26"/>
      <c r="B935" s="27"/>
      <c r="C935" s="28"/>
      <c r="D935" s="28"/>
    </row>
    <row r="936">
      <c r="A936" s="26"/>
      <c r="B936" s="27"/>
      <c r="C936" s="28"/>
      <c r="D936" s="28"/>
    </row>
    <row r="937">
      <c r="A937" s="26"/>
      <c r="B937" s="27"/>
      <c r="C937" s="28"/>
      <c r="D937" s="28"/>
    </row>
    <row r="938">
      <c r="A938" s="26"/>
      <c r="B938" s="27"/>
      <c r="C938" s="28"/>
      <c r="D938" s="28"/>
    </row>
    <row r="939">
      <c r="A939" s="26"/>
      <c r="B939" s="27"/>
      <c r="C939" s="28"/>
      <c r="D939" s="28"/>
    </row>
    <row r="940">
      <c r="A940" s="26"/>
      <c r="B940" s="27"/>
      <c r="C940" s="28"/>
      <c r="D940" s="28"/>
    </row>
    <row r="941">
      <c r="A941" s="26"/>
      <c r="B941" s="27"/>
      <c r="C941" s="28"/>
      <c r="D941" s="28"/>
    </row>
    <row r="942">
      <c r="A942" s="26"/>
      <c r="B942" s="27"/>
      <c r="C942" s="28"/>
      <c r="D942" s="28"/>
    </row>
    <row r="943">
      <c r="A943" s="26"/>
      <c r="B943" s="27"/>
      <c r="C943" s="28"/>
      <c r="D943" s="28"/>
    </row>
    <row r="944">
      <c r="A944" s="26"/>
      <c r="B944" s="27"/>
      <c r="C944" s="28"/>
      <c r="D944" s="28"/>
    </row>
    <row r="945">
      <c r="A945" s="26"/>
      <c r="B945" s="27"/>
      <c r="C945" s="28"/>
      <c r="D945" s="28"/>
    </row>
    <row r="946">
      <c r="A946" s="26"/>
      <c r="B946" s="27"/>
      <c r="C946" s="28"/>
      <c r="D946" s="28"/>
    </row>
    <row r="947">
      <c r="A947" s="26"/>
      <c r="B947" s="27"/>
      <c r="C947" s="28"/>
      <c r="D947" s="28"/>
    </row>
    <row r="948">
      <c r="A948" s="26"/>
      <c r="B948" s="27"/>
      <c r="C948" s="28"/>
      <c r="D948" s="28"/>
    </row>
    <row r="949">
      <c r="A949" s="26"/>
      <c r="B949" s="27"/>
      <c r="C949" s="28"/>
      <c r="D949" s="28"/>
    </row>
    <row r="950">
      <c r="A950" s="26"/>
      <c r="B950" s="27"/>
      <c r="C950" s="28"/>
      <c r="D950" s="28"/>
    </row>
    <row r="951">
      <c r="A951" s="26"/>
      <c r="B951" s="27"/>
      <c r="C951" s="28"/>
      <c r="D951" s="28"/>
    </row>
    <row r="952">
      <c r="A952" s="26"/>
      <c r="B952" s="27"/>
      <c r="C952" s="28"/>
      <c r="D952" s="28"/>
    </row>
    <row r="953">
      <c r="A953" s="26"/>
      <c r="B953" s="27"/>
      <c r="C953" s="28"/>
      <c r="D953" s="28"/>
    </row>
    <row r="954">
      <c r="A954" s="26"/>
      <c r="B954" s="27"/>
      <c r="C954" s="28"/>
      <c r="D954" s="28"/>
    </row>
    <row r="955">
      <c r="A955" s="26"/>
      <c r="B955" s="27"/>
      <c r="C955" s="28"/>
      <c r="D955" s="28"/>
    </row>
    <row r="956">
      <c r="A956" s="26"/>
      <c r="B956" s="27"/>
      <c r="C956" s="28"/>
      <c r="D956" s="28"/>
    </row>
    <row r="957">
      <c r="A957" s="26"/>
      <c r="B957" s="27"/>
      <c r="C957" s="28"/>
      <c r="D957" s="28"/>
    </row>
    <row r="958">
      <c r="A958" s="26"/>
      <c r="B958" s="27"/>
      <c r="C958" s="28"/>
      <c r="D958" s="28"/>
    </row>
    <row r="959">
      <c r="A959" s="26"/>
      <c r="B959" s="27"/>
      <c r="C959" s="28"/>
      <c r="D959" s="28"/>
    </row>
    <row r="960">
      <c r="A960" s="26"/>
      <c r="B960" s="27"/>
      <c r="C960" s="28"/>
      <c r="D960" s="28"/>
    </row>
    <row r="961">
      <c r="A961" s="26"/>
      <c r="B961" s="27"/>
      <c r="C961" s="28"/>
      <c r="D961" s="28"/>
    </row>
    <row r="962">
      <c r="A962" s="26"/>
      <c r="B962" s="27"/>
      <c r="C962" s="28"/>
      <c r="D962" s="28"/>
    </row>
    <row r="963">
      <c r="A963" s="26"/>
      <c r="B963" s="27"/>
      <c r="C963" s="28"/>
      <c r="D963" s="28"/>
    </row>
    <row r="964">
      <c r="A964" s="26"/>
      <c r="B964" s="27"/>
      <c r="C964" s="28"/>
      <c r="D964" s="28"/>
    </row>
    <row r="965">
      <c r="A965" s="26"/>
      <c r="B965" s="27"/>
      <c r="C965" s="28"/>
      <c r="D965" s="28"/>
    </row>
    <row r="966">
      <c r="A966" s="26"/>
      <c r="B966" s="27"/>
      <c r="C966" s="28"/>
      <c r="D966" s="28"/>
    </row>
    <row r="967">
      <c r="A967" s="26"/>
      <c r="B967" s="27"/>
      <c r="C967" s="28"/>
      <c r="D967" s="28"/>
    </row>
    <row r="968">
      <c r="A968" s="26"/>
      <c r="B968" s="27"/>
      <c r="C968" s="28"/>
      <c r="D968" s="28"/>
    </row>
    <row r="969">
      <c r="A969" s="26"/>
      <c r="B969" s="27"/>
      <c r="C969" s="28"/>
      <c r="D969" s="28"/>
    </row>
    <row r="970">
      <c r="A970" s="26"/>
      <c r="B970" s="27"/>
      <c r="C970" s="28"/>
      <c r="D970" s="28"/>
    </row>
    <row r="971">
      <c r="A971" s="26"/>
      <c r="B971" s="27"/>
      <c r="C971" s="28"/>
      <c r="D971" s="28"/>
    </row>
    <row r="972">
      <c r="A972" s="26"/>
      <c r="B972" s="27"/>
      <c r="C972" s="28"/>
      <c r="D972" s="28"/>
    </row>
    <row r="973">
      <c r="A973" s="26"/>
      <c r="B973" s="27"/>
      <c r="C973" s="28"/>
      <c r="D973" s="28"/>
    </row>
    <row r="974">
      <c r="A974" s="26"/>
      <c r="B974" s="27"/>
      <c r="C974" s="28"/>
      <c r="D974" s="28"/>
    </row>
    <row r="975">
      <c r="A975" s="26"/>
      <c r="B975" s="27"/>
      <c r="C975" s="28"/>
      <c r="D975" s="28"/>
    </row>
    <row r="976">
      <c r="A976" s="26"/>
      <c r="B976" s="27"/>
      <c r="C976" s="28"/>
      <c r="D976" s="28"/>
    </row>
    <row r="977">
      <c r="A977" s="26"/>
      <c r="B977" s="27"/>
      <c r="C977" s="28"/>
      <c r="D977" s="28"/>
    </row>
    <row r="978">
      <c r="A978" s="26"/>
      <c r="B978" s="27"/>
      <c r="C978" s="28"/>
      <c r="D978" s="28"/>
    </row>
    <row r="979">
      <c r="A979" s="26"/>
      <c r="B979" s="27"/>
      <c r="C979" s="28"/>
      <c r="D979" s="28"/>
    </row>
    <row r="980">
      <c r="A980" s="26"/>
      <c r="B980" s="27"/>
      <c r="C980" s="28"/>
      <c r="D980" s="28"/>
    </row>
    <row r="981">
      <c r="A981" s="26"/>
      <c r="B981" s="27"/>
      <c r="C981" s="28"/>
      <c r="D981" s="28"/>
    </row>
    <row r="982">
      <c r="A982" s="26"/>
      <c r="B982" s="27"/>
      <c r="C982" s="28"/>
      <c r="D982" s="28"/>
    </row>
    <row r="983">
      <c r="A983" s="26"/>
      <c r="B983" s="27"/>
      <c r="C983" s="28"/>
      <c r="D983" s="28"/>
    </row>
    <row r="984">
      <c r="A984" s="26"/>
      <c r="B984" s="27"/>
      <c r="C984" s="28"/>
      <c r="D984" s="28"/>
    </row>
    <row r="985">
      <c r="A985" s="26"/>
      <c r="B985" s="27"/>
      <c r="C985" s="28"/>
      <c r="D985" s="28"/>
    </row>
    <row r="986">
      <c r="A986" s="26"/>
      <c r="B986" s="27"/>
      <c r="C986" s="28"/>
      <c r="D986" s="28"/>
    </row>
    <row r="987">
      <c r="A987" s="26"/>
      <c r="B987" s="27"/>
      <c r="C987" s="28"/>
      <c r="D987" s="28"/>
    </row>
    <row r="988">
      <c r="A988" s="26"/>
      <c r="B988" s="27"/>
      <c r="C988" s="28"/>
      <c r="D988" s="28"/>
    </row>
    <row r="989">
      <c r="A989" s="26"/>
      <c r="B989" s="27"/>
      <c r="C989" s="28"/>
      <c r="D989" s="28"/>
    </row>
    <row r="990">
      <c r="A990" s="26"/>
      <c r="B990" s="27"/>
      <c r="C990" s="28"/>
      <c r="D990" s="28"/>
    </row>
    <row r="991">
      <c r="A991" s="26"/>
      <c r="B991" s="27"/>
      <c r="C991" s="28"/>
      <c r="D991" s="28"/>
    </row>
    <row r="992">
      <c r="A992" s="26"/>
      <c r="B992" s="27"/>
      <c r="C992" s="28"/>
      <c r="D992" s="28"/>
    </row>
    <row r="993">
      <c r="A993" s="26"/>
      <c r="B993" s="27"/>
      <c r="C993" s="28"/>
      <c r="D993" s="28"/>
    </row>
    <row r="994">
      <c r="A994" s="26"/>
      <c r="B994" s="27"/>
      <c r="C994" s="28"/>
      <c r="D994" s="28"/>
    </row>
    <row r="995">
      <c r="A995" s="26"/>
      <c r="B995" s="27"/>
      <c r="C995" s="28"/>
      <c r="D995" s="28"/>
    </row>
    <row r="996">
      <c r="A996" s="26"/>
      <c r="B996" s="27"/>
      <c r="C996" s="28"/>
      <c r="D996" s="28"/>
    </row>
    <row r="997">
      <c r="A997" s="26"/>
      <c r="B997" s="27"/>
      <c r="C997" s="28"/>
      <c r="D997" s="28"/>
    </row>
    <row r="998">
      <c r="A998" s="26"/>
      <c r="B998" s="27"/>
      <c r="C998" s="28"/>
      <c r="D998" s="28"/>
    </row>
    <row r="999">
      <c r="A999" s="26"/>
      <c r="B999" s="27"/>
      <c r="C999" s="28"/>
      <c r="D999" s="28"/>
    </row>
  </sheetData>
  <mergeCells count="1">
    <mergeCell ref="H11:O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21.63"/>
    <col customWidth="1" min="9" max="9" width="13.25"/>
    <col customWidth="1" min="11" max="11" width="16.5"/>
  </cols>
  <sheetData>
    <row r="1" ht="19.5" customHeight="1">
      <c r="A1" s="1" t="s">
        <v>0</v>
      </c>
      <c r="B1" s="3" t="s">
        <v>2</v>
      </c>
      <c r="C1" s="5" t="s">
        <v>3</v>
      </c>
      <c r="D1" s="5" t="s">
        <v>5</v>
      </c>
      <c r="E1" s="9" t="s">
        <v>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9</v>
      </c>
      <c r="B2" s="14">
        <v>8.0</v>
      </c>
      <c r="C2" s="14">
        <v>1.0</v>
      </c>
      <c r="D2" s="14">
        <v>142.0</v>
      </c>
      <c r="E2" s="23" t="str">
        <f t="array" ref="E2">IF(C2&lt;statistics_analysis!$C$14,"low outlier",IF(C2&gt;statistics_analysis!$C$15,"high outlier","normal"))</f>
        <v>normal</v>
      </c>
    </row>
    <row r="3">
      <c r="A3" s="13" t="s">
        <v>12</v>
      </c>
      <c r="B3" s="14">
        <v>4.0</v>
      </c>
      <c r="C3" s="14">
        <v>68.06</v>
      </c>
      <c r="D3" s="14">
        <v>113.6</v>
      </c>
      <c r="E3" s="23" t="str">
        <f t="array" ref="E3">IF(C2&lt;statistics_analysis!$C$14,"low outlier",IF(C2&gt;statistics_analysis!$C$15,"high outlier","normal"))</f>
        <v>normal</v>
      </c>
    </row>
    <row r="4">
      <c r="A4" s="13" t="s">
        <v>13</v>
      </c>
      <c r="B4" s="14">
        <v>2.0</v>
      </c>
      <c r="C4" s="14">
        <v>3.95</v>
      </c>
      <c r="D4" s="14">
        <v>139.6</v>
      </c>
      <c r="E4" s="23" t="str">
        <f t="array" ref="E4">IF(C3&lt;statistics_analysis!$C$14,"low outlier",IF(C3&gt;statistics_analysis!$C$15,"high outlier","normal"))</f>
        <v>high outlier</v>
      </c>
      <c r="G4" s="21"/>
      <c r="H4" s="21"/>
      <c r="I4" s="21"/>
      <c r="J4" s="21"/>
      <c r="K4" s="21"/>
    </row>
    <row r="5">
      <c r="A5" s="13" t="s">
        <v>14</v>
      </c>
      <c r="B5" s="14">
        <v>3.0</v>
      </c>
      <c r="C5" s="14">
        <v>13.79</v>
      </c>
      <c r="D5" s="14">
        <v>105.8</v>
      </c>
      <c r="E5" s="23" t="str">
        <f t="array" ref="E5">IF(C4&lt;statistics_analysis!$C$14,"low outlier",IF(C4&gt;statistics_analysis!$C$15,"high outlier","normal"))</f>
        <v>normal</v>
      </c>
      <c r="G5" s="21"/>
      <c r="H5" s="21"/>
      <c r="I5" s="21"/>
      <c r="J5" s="21"/>
      <c r="K5" s="21"/>
    </row>
    <row r="6">
      <c r="A6" s="13" t="s">
        <v>15</v>
      </c>
      <c r="B6" s="14">
        <v>4.0</v>
      </c>
      <c r="C6" s="14">
        <v>16.43</v>
      </c>
      <c r="D6" s="14">
        <v>190.5</v>
      </c>
      <c r="E6" s="23" t="str">
        <f t="array" ref="E6">IF(C5&lt;statistics_analysis!$C$14,"low outlier",IF(C5&gt;statistics_analysis!$C$15,"high outlier","normal"))</f>
        <v>normal</v>
      </c>
      <c r="G6" s="21"/>
      <c r="H6" s="21"/>
      <c r="I6" s="21"/>
      <c r="J6" s="21"/>
      <c r="K6" s="21"/>
      <c r="L6" s="20"/>
      <c r="M6" s="20"/>
      <c r="N6" s="20"/>
      <c r="O6" s="20"/>
      <c r="P6" s="20"/>
    </row>
    <row r="7">
      <c r="A7" s="13" t="s">
        <v>16</v>
      </c>
      <c r="B7" s="14">
        <v>7.0</v>
      </c>
      <c r="C7" s="14">
        <v>19.52</v>
      </c>
      <c r="D7" s="14">
        <v>40.1</v>
      </c>
      <c r="E7" s="23" t="str">
        <f t="array" ref="E7">IF(C6&lt;statistics_analysis!$C$14,"low outlier",IF(C6&gt;statistics_analysis!$C$15,"high outlier","normal"))</f>
        <v>normal</v>
      </c>
      <c r="G7" s="21"/>
      <c r="H7" s="21"/>
      <c r="I7" s="21"/>
      <c r="J7" s="21"/>
      <c r="K7" s="21"/>
    </row>
    <row r="8">
      <c r="A8" s="13" t="s">
        <v>17</v>
      </c>
      <c r="B8" s="14">
        <v>4.0</v>
      </c>
      <c r="C8" s="14">
        <v>60.44</v>
      </c>
      <c r="D8" s="14">
        <v>140.2</v>
      </c>
      <c r="E8" s="23" t="str">
        <f t="array" ref="E8">IF(C7&lt;statistics_analysis!$C$14,"low outlier",IF(C7&gt;statistics_analysis!$C$15,"high outlier","normal"))</f>
        <v>normal</v>
      </c>
      <c r="G8" s="21"/>
      <c r="H8" s="21"/>
      <c r="I8" s="21"/>
      <c r="J8" s="21"/>
      <c r="K8" s="21"/>
    </row>
    <row r="9">
      <c r="A9" s="13" t="s">
        <v>18</v>
      </c>
      <c r="B9" s="14">
        <v>3.0</v>
      </c>
      <c r="C9" s="14">
        <v>2.76</v>
      </c>
      <c r="D9" s="14">
        <v>67.1</v>
      </c>
      <c r="E9" s="23" t="str">
        <f t="array" ref="E9">IF(C8&lt;statistics_analysis!$C$14,"low outlier",IF(C8&gt;statistics_analysis!$C$15,"high outlier","normal"))</f>
        <v>high outlier</v>
      </c>
    </row>
    <row r="10">
      <c r="A10" s="13" t="s">
        <v>19</v>
      </c>
      <c r="B10" s="14">
        <v>2.0</v>
      </c>
      <c r="C10" s="14">
        <v>0.41</v>
      </c>
      <c r="D10" s="14">
        <v>113.2</v>
      </c>
      <c r="E10" s="23" t="str">
        <f t="array" ref="E10">IF(C9&lt;statistics_analysis!$C$14,"low outlier",IF(C9&gt;statistics_analysis!$C$15,"high outlier","normal"))</f>
        <v>normal</v>
      </c>
    </row>
    <row r="11">
      <c r="A11" s="13" t="s">
        <v>20</v>
      </c>
      <c r="B11" s="14">
        <v>6.0</v>
      </c>
      <c r="C11" s="14">
        <v>5.3</v>
      </c>
      <c r="D11" s="14">
        <v>117.4</v>
      </c>
      <c r="E11" s="23" t="str">
        <f t="array" ref="E11">IF(C10&lt;statistics_analysis!$C$14,"low outlier",IF(C10&gt;statistics_analysis!$C$15,"high outlier","normal"))</f>
        <v>normal</v>
      </c>
    </row>
    <row r="12">
      <c r="A12" s="13" t="s">
        <v>21</v>
      </c>
      <c r="B12" s="14">
        <v>3.0</v>
      </c>
      <c r="C12" s="14">
        <v>1.39</v>
      </c>
      <c r="D12" s="14">
        <v>165.2</v>
      </c>
      <c r="E12" s="23" t="str">
        <f t="array" ref="E12">IF(C11&lt;statistics_analysis!$C$14,"low outlier",IF(C11&gt;statistics_analysis!$C$15,"high outlier","normal"))</f>
        <v>normal</v>
      </c>
    </row>
    <row r="13">
      <c r="A13" s="13" t="s">
        <v>22</v>
      </c>
      <c r="B13" s="14">
        <v>5.0</v>
      </c>
      <c r="C13" s="14">
        <v>0.23</v>
      </c>
      <c r="D13" s="14">
        <v>99.2</v>
      </c>
      <c r="E13" s="23" t="str">
        <f t="array" ref="E13">IF(C12&lt;statistics_analysis!$C$14,"low outlier",IF(C12&gt;statistics_analysis!$C$15,"high outlier","normal"))</f>
        <v>normal</v>
      </c>
    </row>
    <row r="14">
      <c r="A14" s="13" t="s">
        <v>23</v>
      </c>
      <c r="B14" s="14">
        <v>9.0</v>
      </c>
      <c r="C14" s="14">
        <v>4.47</v>
      </c>
      <c r="D14" s="14">
        <v>159.2</v>
      </c>
      <c r="E14" s="23" t="str">
        <f t="array" ref="E14">IF(C13&lt;statistics_analysis!$C$14,"low outlier",IF(C13&gt;statistics_analysis!$C$15,"high outlier","normal"))</f>
        <v>normal</v>
      </c>
    </row>
    <row r="15">
      <c r="A15" s="13" t="s">
        <v>24</v>
      </c>
      <c r="B15" s="14">
        <v>6.0</v>
      </c>
      <c r="C15" s="14">
        <v>15.31</v>
      </c>
      <c r="D15" s="14">
        <v>84.6</v>
      </c>
      <c r="E15" s="23" t="str">
        <f t="array" ref="E15">IF(C14&lt;statistics_analysis!$C$14,"low outlier",IF(C14&gt;statistics_analysis!$C$15,"high outlier","normal"))</f>
        <v>normal</v>
      </c>
    </row>
    <row r="16">
      <c r="A16" s="13" t="s">
        <v>25</v>
      </c>
      <c r="B16" s="14">
        <v>6.0</v>
      </c>
      <c r="C16" s="14">
        <v>8.35</v>
      </c>
      <c r="D16" s="14">
        <v>160.4</v>
      </c>
      <c r="E16" s="23" t="str">
        <f t="array" ref="E16">IF(C15&lt;statistics_analysis!$C$14,"low outlier",IF(C15&gt;statistics_analysis!$C$15,"high outlier","normal"))</f>
        <v>normal</v>
      </c>
    </row>
    <row r="17">
      <c r="A17" s="13" t="s">
        <v>26</v>
      </c>
      <c r="B17" s="14">
        <v>9.0</v>
      </c>
      <c r="C17" s="14">
        <v>3.75</v>
      </c>
      <c r="D17" s="14">
        <v>105.8</v>
      </c>
      <c r="E17" s="23" t="str">
        <f t="array" ref="E17">IF(C16&lt;statistics_analysis!$C$14,"low outlier",IF(C16&gt;statistics_analysis!$C$15,"high outlier","normal"))</f>
        <v>normal</v>
      </c>
    </row>
    <row r="18">
      <c r="A18" s="13" t="s">
        <v>27</v>
      </c>
      <c r="B18" s="14">
        <v>4.0</v>
      </c>
      <c r="C18" s="14">
        <v>10.62</v>
      </c>
      <c r="D18" s="14">
        <v>122.2</v>
      </c>
      <c r="E18" s="23" t="str">
        <f t="array" ref="E18">IF(C17&lt;statistics_analysis!$C$14,"low outlier",IF(C17&gt;statistics_analysis!$C$15,"high outlier","normal"))</f>
        <v>normal</v>
      </c>
    </row>
    <row r="19">
      <c r="A19" s="13" t="s">
        <v>28</v>
      </c>
      <c r="B19" s="14">
        <v>9.0</v>
      </c>
      <c r="C19" s="14">
        <v>2.64</v>
      </c>
      <c r="D19" s="14">
        <v>109.9</v>
      </c>
      <c r="E19" s="23" t="str">
        <f t="array" ref="E19">IF(C18&lt;statistics_analysis!$C$14,"low outlier",IF(C18&gt;statistics_analysis!$C$15,"high outlier","normal"))</f>
        <v>normal</v>
      </c>
    </row>
    <row r="20">
      <c r="A20" s="13" t="s">
        <v>29</v>
      </c>
      <c r="B20" s="14">
        <v>2.0</v>
      </c>
      <c r="C20" s="14">
        <v>0.14</v>
      </c>
      <c r="D20" s="14">
        <v>158.5</v>
      </c>
      <c r="E20" s="23" t="str">
        <f t="array" ref="E20">IF(C19&lt;statistics_analysis!$C$14,"low outlier",IF(C19&gt;statistics_analysis!$C$15,"high outlier","normal"))</f>
        <v>normal</v>
      </c>
    </row>
    <row r="21">
      <c r="A21" s="13" t="s">
        <v>30</v>
      </c>
      <c r="B21" s="14">
        <v>10.0</v>
      </c>
      <c r="C21" s="14">
        <v>14.45</v>
      </c>
      <c r="D21" s="14">
        <v>152.6</v>
      </c>
      <c r="E21" s="23" t="str">
        <f t="array" ref="E21">IF(C20&lt;statistics_analysis!$C$14,"low outlier",IF(C20&gt;statistics_analysis!$C$15,"high outlier","normal"))</f>
        <v>normal</v>
      </c>
    </row>
    <row r="22">
      <c r="A22" s="13" t="s">
        <v>31</v>
      </c>
      <c r="B22" s="14">
        <v>6.0</v>
      </c>
      <c r="C22" s="14">
        <v>9.77</v>
      </c>
      <c r="D22" s="14">
        <v>133.3</v>
      </c>
      <c r="E22" s="23" t="str">
        <f t="array" ref="E22">IF(C21&lt;statistics_analysis!$C$14,"low outlier",IF(C21&gt;statistics_analysis!$C$15,"high outlier","normal"))</f>
        <v>normal</v>
      </c>
    </row>
    <row r="23">
      <c r="A23" s="13" t="s">
        <v>32</v>
      </c>
      <c r="B23" s="14">
        <v>9.0</v>
      </c>
      <c r="C23" s="14">
        <v>14.37</v>
      </c>
      <c r="D23" s="14">
        <v>85.4</v>
      </c>
      <c r="E23" s="23" t="str">
        <f t="array" ref="E23">IF(C22&lt;statistics_analysis!$C$14,"low outlier",IF(C22&gt;statistics_analysis!$C$15,"high outlier","normal"))</f>
        <v>normal</v>
      </c>
    </row>
    <row r="24">
      <c r="A24" s="13" t="s">
        <v>33</v>
      </c>
      <c r="B24" s="14">
        <v>4.0</v>
      </c>
      <c r="C24" s="14">
        <v>0.4</v>
      </c>
      <c r="D24" s="14">
        <v>98.5</v>
      </c>
      <c r="E24" s="23" t="str">
        <f t="array" ref="E24">IF(C23&lt;statistics_analysis!$C$14,"low outlier",IF(C23&gt;statistics_analysis!$C$15,"high outlier","normal"))</f>
        <v>normal</v>
      </c>
    </row>
    <row r="25">
      <c r="A25" s="13" t="s">
        <v>34</v>
      </c>
      <c r="B25" s="14">
        <v>1.0</v>
      </c>
      <c r="C25" s="14">
        <v>18.15</v>
      </c>
      <c r="D25" s="14">
        <v>89.1</v>
      </c>
      <c r="E25" s="23" t="str">
        <f t="array" ref="E25">IF(C24&lt;statistics_analysis!$C$14,"low outlier",IF(C24&gt;statistics_analysis!$C$15,"high outlier","normal"))</f>
        <v>normal</v>
      </c>
    </row>
    <row r="26">
      <c r="A26" s="13" t="s">
        <v>35</v>
      </c>
      <c r="B26" s="14">
        <v>6.0</v>
      </c>
      <c r="C26" s="14">
        <v>9.66</v>
      </c>
      <c r="D26" s="14">
        <v>52.6</v>
      </c>
      <c r="E26" s="23" t="str">
        <f t="array" ref="E26">IF(C25&lt;statistics_analysis!$C$14,"low outlier",IF(C25&gt;statistics_analysis!$C$15,"high outlier","normal"))</f>
        <v>normal</v>
      </c>
    </row>
    <row r="27">
      <c r="A27" s="13" t="s">
        <v>36</v>
      </c>
      <c r="B27" s="14">
        <v>8.0</v>
      </c>
      <c r="C27" s="14">
        <v>8.29</v>
      </c>
      <c r="D27" s="14">
        <v>157.8</v>
      </c>
      <c r="E27" s="23" t="str">
        <f t="array" ref="E27">IF(C26&lt;statistics_analysis!$C$14,"low outlier",IF(C26&gt;statistics_analysis!$C$15,"high outlier","normal"))</f>
        <v>normal</v>
      </c>
    </row>
    <row r="28">
      <c r="A28" s="13" t="s">
        <v>37</v>
      </c>
      <c r="B28" s="14">
        <v>6.0</v>
      </c>
      <c r="C28" s="14">
        <v>9.8</v>
      </c>
      <c r="D28" s="14">
        <v>110.2</v>
      </c>
      <c r="E28" s="23" t="str">
        <f t="array" ref="E28">IF(C27&lt;statistics_analysis!$C$14,"low outlier",IF(C27&gt;statistics_analysis!$C$15,"high outlier","normal"))</f>
        <v>normal</v>
      </c>
    </row>
    <row r="29">
      <c r="A29" s="13" t="s">
        <v>38</v>
      </c>
      <c r="B29" s="14">
        <v>2.0</v>
      </c>
      <c r="C29" s="14">
        <v>19.98</v>
      </c>
      <c r="D29" s="14">
        <v>109.8</v>
      </c>
      <c r="E29" s="23" t="str">
        <f t="array" ref="E29">IF(C28&lt;statistics_analysis!$C$14,"low outlier",IF(C28&gt;statistics_analysis!$C$15,"high outlier","normal"))</f>
        <v>normal</v>
      </c>
    </row>
    <row r="30">
      <c r="A30" s="13" t="s">
        <v>39</v>
      </c>
      <c r="B30" s="14">
        <v>3.0</v>
      </c>
      <c r="C30" s="14">
        <v>8.84</v>
      </c>
      <c r="D30" s="14">
        <v>164.9</v>
      </c>
      <c r="E30" s="23" t="str">
        <f t="array" ref="E30">IF(C29&lt;statistics_analysis!$C$14,"low outlier",IF(C29&gt;statistics_analysis!$C$15,"high outlier","normal"))</f>
        <v>normal</v>
      </c>
    </row>
    <row r="31">
      <c r="A31" s="13" t="s">
        <v>40</v>
      </c>
      <c r="B31" s="14">
        <v>5.0</v>
      </c>
      <c r="C31" s="14">
        <v>8.7</v>
      </c>
      <c r="D31" s="14">
        <v>105.7</v>
      </c>
      <c r="E31" s="23" t="str">
        <f t="array" ref="E31">IF(C30&lt;statistics_analysis!$C$14,"low outlier",IF(C30&gt;statistics_analysis!$C$15,"high outlier","normal"))</f>
        <v>normal</v>
      </c>
    </row>
    <row r="32">
      <c r="A32" s="13" t="s">
        <v>41</v>
      </c>
      <c r="B32" s="14">
        <v>3.0</v>
      </c>
      <c r="C32" s="14">
        <v>46.76</v>
      </c>
      <c r="D32" s="14">
        <v>94.8</v>
      </c>
      <c r="E32" s="23" t="str">
        <f t="array" ref="E32">IF(C31&lt;statistics_analysis!$C$14,"low outlier",IF(C31&gt;statistics_analysis!$C$15,"high outlier","normal"))</f>
        <v>normal</v>
      </c>
    </row>
    <row r="33">
      <c r="A33" s="13" t="s">
        <v>42</v>
      </c>
      <c r="B33" s="14">
        <v>3.0</v>
      </c>
      <c r="C33" s="14">
        <v>14.14</v>
      </c>
      <c r="D33" s="14">
        <v>113.3</v>
      </c>
      <c r="E33" s="23" t="str">
        <f t="array" ref="E33">IF(C32&lt;statistics_analysis!$C$14,"low outlier",IF(C32&gt;statistics_analysis!$C$15,"high outlier","normal"))</f>
        <v>high outlier</v>
      </c>
    </row>
    <row r="34">
      <c r="A34" s="13" t="s">
        <v>43</v>
      </c>
      <c r="B34" s="14">
        <v>5.0</v>
      </c>
      <c r="C34" s="14">
        <v>5.84</v>
      </c>
      <c r="D34" s="14">
        <v>86.0</v>
      </c>
      <c r="E34" s="23" t="str">
        <f t="array" ref="E34">IF(C33&lt;statistics_analysis!$C$14,"low outlier",IF(C33&gt;statistics_analysis!$C$15,"high outlier","normal"))</f>
        <v>normal</v>
      </c>
    </row>
    <row r="35">
      <c r="A35" s="13" t="s">
        <v>44</v>
      </c>
      <c r="B35" s="14">
        <v>6.0</v>
      </c>
      <c r="C35" s="14">
        <v>12.29</v>
      </c>
      <c r="D35" s="14">
        <v>130.3</v>
      </c>
      <c r="E35" s="23" t="str">
        <f t="array" ref="E35">IF(C34&lt;statistics_analysis!$C$14,"low outlier",IF(C34&gt;statistics_analysis!$C$15,"high outlier","normal"))</f>
        <v>normal</v>
      </c>
    </row>
    <row r="36">
      <c r="A36" s="13" t="s">
        <v>45</v>
      </c>
      <c r="B36" s="14">
        <v>5.0</v>
      </c>
      <c r="C36" s="14">
        <v>4.93</v>
      </c>
      <c r="D36" s="14">
        <v>108.8</v>
      </c>
      <c r="E36" s="23" t="str">
        <f t="array" ref="E36">IF(C35&lt;statistics_analysis!$C$14,"low outlier",IF(C35&gt;statistics_analysis!$C$15,"high outlier","normal"))</f>
        <v>normal</v>
      </c>
    </row>
    <row r="37">
      <c r="A37" s="13" t="s">
        <v>46</v>
      </c>
      <c r="B37" s="14">
        <v>3.0</v>
      </c>
      <c r="C37" s="14">
        <v>2.6</v>
      </c>
      <c r="D37" s="14">
        <v>104.8</v>
      </c>
      <c r="E37" s="23" t="str">
        <f t="array" ref="E37">IF(C36&lt;statistics_analysis!$C$14,"low outlier",IF(C36&gt;statistics_analysis!$C$15,"high outlier","normal"))</f>
        <v>normal</v>
      </c>
    </row>
    <row r="38">
      <c r="A38" s="13" t="s">
        <v>47</v>
      </c>
      <c r="B38" s="14">
        <v>5.0</v>
      </c>
      <c r="C38" s="14">
        <v>9.08</v>
      </c>
      <c r="D38" s="14">
        <v>102.2</v>
      </c>
      <c r="E38" s="23" t="str">
        <f t="array" ref="E38">IF(C37&lt;statistics_analysis!$C$14,"low outlier",IF(C37&gt;statistics_analysis!$C$15,"high outlier","normal"))</f>
        <v>normal</v>
      </c>
    </row>
    <row r="39">
      <c r="A39" s="13" t="s">
        <v>48</v>
      </c>
      <c r="B39" s="14">
        <v>3.0</v>
      </c>
      <c r="C39" s="14">
        <v>26.34</v>
      </c>
      <c r="D39" s="14">
        <v>116.8</v>
      </c>
      <c r="E39" s="23" t="str">
        <f t="array" ref="E39">IF(C38&lt;statistics_analysis!$C$14,"low outlier",IF(C38&gt;statistics_analysis!$C$15,"high outlier","normal"))</f>
        <v>normal</v>
      </c>
    </row>
    <row r="40">
      <c r="A40" s="13" t="s">
        <v>49</v>
      </c>
      <c r="B40" s="14">
        <v>3.0</v>
      </c>
      <c r="C40" s="14">
        <v>26.47</v>
      </c>
      <c r="D40" s="14">
        <v>122.5</v>
      </c>
      <c r="E40" s="23" t="str">
        <f t="array" ref="E40">IF(C39&lt;statistics_analysis!$C$14,"low outlier",IF(C39&gt;statistics_analysis!$C$15,"high outlier","normal"))</f>
        <v>normal</v>
      </c>
    </row>
    <row r="41">
      <c r="A41" s="13" t="s">
        <v>50</v>
      </c>
      <c r="B41" s="14">
        <v>6.0</v>
      </c>
      <c r="C41" s="14">
        <v>4.18</v>
      </c>
      <c r="D41" s="14">
        <v>104.4</v>
      </c>
      <c r="E41" s="23" t="str">
        <f t="array" ref="E41">IF(C40&lt;statistics_analysis!$C$14,"low outlier",IF(C40&gt;statistics_analysis!$C$15,"high outlier","normal"))</f>
        <v>normal</v>
      </c>
    </row>
    <row r="42">
      <c r="A42" s="13" t="s">
        <v>51</v>
      </c>
      <c r="B42" s="14">
        <v>5.0</v>
      </c>
      <c r="C42" s="14">
        <v>7.5</v>
      </c>
      <c r="D42" s="14">
        <v>109.2</v>
      </c>
      <c r="E42" s="23" t="str">
        <f t="array" ref="E42">IF(C41&lt;statistics_analysis!$C$14,"low outlier",IF(C41&gt;statistics_analysis!$C$15,"high outlier","normal"))</f>
        <v>normal</v>
      </c>
    </row>
    <row r="43">
      <c r="A43" s="13" t="s">
        <v>52</v>
      </c>
      <c r="B43" s="14">
        <v>6.0</v>
      </c>
      <c r="C43" s="14">
        <v>2.38</v>
      </c>
      <c r="D43" s="14">
        <v>117.6</v>
      </c>
      <c r="E43" s="23" t="str">
        <f t="array" ref="E43">IF(C42&lt;statistics_analysis!$C$14,"low outlier",IF(C42&gt;statistics_analysis!$C$15,"high outlier","normal"))</f>
        <v>normal</v>
      </c>
    </row>
    <row r="44">
      <c r="A44" s="13">
        <v>1.362871E7</v>
      </c>
      <c r="B44" s="14">
        <v>2.0</v>
      </c>
      <c r="C44" s="14">
        <v>54.33</v>
      </c>
      <c r="D44" s="14">
        <v>114.5</v>
      </c>
      <c r="E44" s="23" t="str">
        <f t="array" ref="E44">IF(C43&lt;statistics_analysis!$C$14,"low outlier",IF(C43&gt;statistics_analysis!$C$15,"high outlier","normal"))</f>
        <v>normal</v>
      </c>
    </row>
    <row r="45">
      <c r="A45" s="13" t="s">
        <v>53</v>
      </c>
      <c r="B45" s="14">
        <v>4.0</v>
      </c>
      <c r="C45" s="14">
        <v>39.7</v>
      </c>
      <c r="D45" s="14">
        <v>120.9</v>
      </c>
      <c r="E45" s="23" t="str">
        <f t="array" ref="E45">IF(C44&lt;statistics_analysis!$C$14,"low outlier",IF(C44&gt;statistics_analysis!$C$15,"high outlier","normal"))</f>
        <v>high outlier</v>
      </c>
    </row>
    <row r="46">
      <c r="A46" s="13" t="s">
        <v>54</v>
      </c>
      <c r="B46" s="14">
        <v>7.0</v>
      </c>
      <c r="C46" s="14">
        <v>10.48</v>
      </c>
      <c r="D46" s="14">
        <v>99.7</v>
      </c>
      <c r="E46" s="23" t="str">
        <f t="array" ref="E46">IF(C45&lt;statistics_analysis!$C$14,"low outlier",IF(C45&gt;statistics_analysis!$C$15,"high outlier","normal"))</f>
        <v>high outlier</v>
      </c>
    </row>
    <row r="47">
      <c r="A47" s="13" t="s">
        <v>55</v>
      </c>
      <c r="B47" s="14">
        <v>6.0</v>
      </c>
      <c r="C47" s="14">
        <v>16.32</v>
      </c>
      <c r="D47" s="14">
        <v>150.1</v>
      </c>
      <c r="E47" s="23" t="str">
        <f t="array" ref="E47">IF(C46&lt;statistics_analysis!$C$14,"low outlier",IF(C46&gt;statistics_analysis!$C$15,"high outlier","normal"))</f>
        <v>normal</v>
      </c>
    </row>
    <row r="48">
      <c r="A48" s="13" t="s">
        <v>56</v>
      </c>
      <c r="B48" s="14">
        <v>5.0</v>
      </c>
      <c r="C48" s="14">
        <v>12.56</v>
      </c>
      <c r="D48" s="14">
        <v>122.9</v>
      </c>
      <c r="E48" s="23" t="str">
        <f t="array" ref="E48">IF(C47&lt;statistics_analysis!$C$14,"low outlier",IF(C47&gt;statistics_analysis!$C$15,"high outlier","normal"))</f>
        <v>normal</v>
      </c>
    </row>
    <row r="49">
      <c r="A49" s="13" t="s">
        <v>57</v>
      </c>
      <c r="B49" s="14">
        <v>4.0</v>
      </c>
      <c r="C49" s="14">
        <v>8.99</v>
      </c>
      <c r="D49" s="14">
        <v>104.9</v>
      </c>
      <c r="E49" s="23" t="str">
        <f t="array" ref="E49">IF(C48&lt;statistics_analysis!$C$14,"low outlier",IF(C48&gt;statistics_analysis!$C$15,"high outlier","normal"))</f>
        <v>normal</v>
      </c>
    </row>
    <row r="50">
      <c r="A50" s="13" t="s">
        <v>58</v>
      </c>
      <c r="B50" s="14">
        <v>3.0</v>
      </c>
      <c r="C50" s="14">
        <v>0.55</v>
      </c>
      <c r="D50" s="14">
        <v>130.3</v>
      </c>
      <c r="E50" s="23" t="str">
        <f t="array" ref="E50">IF(C49&lt;statistics_analysis!$C$14,"low outlier",IF(C49&gt;statistics_analysis!$C$15,"high outlier","normal"))</f>
        <v>normal</v>
      </c>
    </row>
    <row r="51">
      <c r="A51" s="13" t="s">
        <v>59</v>
      </c>
      <c r="B51" s="14">
        <v>3.0</v>
      </c>
      <c r="C51" s="14">
        <v>6.07</v>
      </c>
      <c r="D51" s="14">
        <v>117.8</v>
      </c>
      <c r="E51" s="23" t="str">
        <f t="array" ref="E51">IF(C50&lt;statistics_analysis!$C$14,"low outlier",IF(C50&gt;statistics_analysis!$C$15,"high outlier","normal"))</f>
        <v>normal</v>
      </c>
    </row>
    <row r="52">
      <c r="A52" s="13" t="s">
        <v>60</v>
      </c>
      <c r="B52" s="14">
        <v>7.0</v>
      </c>
      <c r="C52" s="14">
        <v>11.23</v>
      </c>
      <c r="D52" s="14">
        <v>68.0</v>
      </c>
      <c r="E52" s="23" t="str">
        <f t="array" ref="E52">IF(C51&lt;statistics_analysis!$C$14,"low outlier",IF(C51&gt;statistics_analysis!$C$15,"high outlier","normal"))</f>
        <v>normal</v>
      </c>
    </row>
    <row r="53">
      <c r="A53" s="13" t="s">
        <v>61</v>
      </c>
      <c r="B53" s="14">
        <v>7.0</v>
      </c>
      <c r="C53" s="14">
        <v>11.32</v>
      </c>
      <c r="D53" s="14">
        <v>130.2</v>
      </c>
      <c r="E53" s="23" t="str">
        <f t="array" ref="E53">IF(C52&lt;statistics_analysis!$C$14,"low outlier",IF(C52&gt;statistics_analysis!$C$15,"high outlier","normal"))</f>
        <v>normal</v>
      </c>
    </row>
    <row r="54">
      <c r="A54" s="13" t="s">
        <v>62</v>
      </c>
      <c r="B54" s="14">
        <v>6.0</v>
      </c>
      <c r="C54" s="14">
        <v>4.67</v>
      </c>
      <c r="D54" s="14">
        <v>89.4</v>
      </c>
      <c r="E54" s="23" t="str">
        <f t="array" ref="E54">IF(C53&lt;statistics_analysis!$C$14,"low outlier",IF(C53&gt;statistics_analysis!$C$15,"high outlier","normal"))</f>
        <v>normal</v>
      </c>
    </row>
    <row r="55">
      <c r="A55" s="13" t="s">
        <v>63</v>
      </c>
      <c r="B55" s="14">
        <v>6.0</v>
      </c>
      <c r="C55" s="14">
        <v>28.42</v>
      </c>
      <c r="D55" s="14">
        <v>148.0</v>
      </c>
      <c r="E55" s="23" t="str">
        <f t="array" ref="E55">IF(C54&lt;statistics_analysis!$C$14,"low outlier",IF(C54&gt;statistics_analysis!$C$15,"high outlier","normal"))</f>
        <v>normal</v>
      </c>
    </row>
    <row r="56">
      <c r="A56" s="13" t="s">
        <v>64</v>
      </c>
      <c r="B56" s="14">
        <v>7.0</v>
      </c>
      <c r="C56" s="14">
        <v>1.83</v>
      </c>
      <c r="D56" s="14">
        <v>112.7</v>
      </c>
      <c r="E56" s="23" t="str">
        <f t="array" ref="E56">IF(C55&lt;statistics_analysis!$C$14,"low outlier",IF(C55&gt;statistics_analysis!$C$15,"high outlier","normal"))</f>
        <v>normal</v>
      </c>
    </row>
    <row r="57">
      <c r="A57" s="13" t="s">
        <v>65</v>
      </c>
      <c r="B57" s="14">
        <v>8.0</v>
      </c>
      <c r="C57" s="14">
        <v>6.94</v>
      </c>
      <c r="D57" s="14">
        <v>143.4</v>
      </c>
      <c r="E57" s="23" t="str">
        <f t="array" ref="E57">IF(C56&lt;statistics_analysis!$C$14,"low outlier",IF(C56&gt;statistics_analysis!$C$15,"high outlier","normal"))</f>
        <v>normal</v>
      </c>
    </row>
    <row r="58">
      <c r="A58" s="13" t="s">
        <v>66</v>
      </c>
      <c r="B58" s="14">
        <v>6.0</v>
      </c>
      <c r="C58" s="14">
        <v>11.74</v>
      </c>
      <c r="D58" s="14">
        <v>101.1</v>
      </c>
      <c r="E58" s="23" t="str">
        <f t="array" ref="E58">IF(C57&lt;statistics_analysis!$C$14,"low outlier",IF(C57&gt;statistics_analysis!$C$15,"high outlier","normal"))</f>
        <v>normal</v>
      </c>
    </row>
    <row r="59">
      <c r="A59" s="13" t="s">
        <v>67</v>
      </c>
      <c r="B59" s="14">
        <v>3.0</v>
      </c>
      <c r="C59" s="14">
        <v>11.94</v>
      </c>
      <c r="D59" s="14">
        <v>122.1</v>
      </c>
      <c r="E59" s="23" t="str">
        <f t="array" ref="E59">IF(C58&lt;statistics_analysis!$C$14,"low outlier",IF(C58&gt;statistics_analysis!$C$15,"high outlier","normal"))</f>
        <v>normal</v>
      </c>
    </row>
    <row r="60">
      <c r="A60" s="13" t="s">
        <v>68</v>
      </c>
      <c r="B60" s="14">
        <v>7.0</v>
      </c>
      <c r="C60" s="14">
        <v>10.46</v>
      </c>
      <c r="D60" s="14">
        <v>156.3</v>
      </c>
      <c r="E60" s="23" t="str">
        <f t="array" ref="E60">IF(C59&lt;statistics_analysis!$C$14,"low outlier",IF(C59&gt;statistics_analysis!$C$15,"high outlier","normal"))</f>
        <v>normal</v>
      </c>
    </row>
    <row r="61">
      <c r="A61" s="13" t="s">
        <v>69</v>
      </c>
      <c r="B61" s="14">
        <v>5.0</v>
      </c>
      <c r="C61" s="14">
        <v>3.22</v>
      </c>
      <c r="D61" s="14">
        <v>111.9</v>
      </c>
      <c r="E61" s="23" t="str">
        <f t="array" ref="E61">IF(C60&lt;statistics_analysis!$C$14,"low outlier",IF(C60&gt;statistics_analysis!$C$15,"high outlier","normal"))</f>
        <v>normal</v>
      </c>
    </row>
    <row r="62">
      <c r="A62" s="13" t="s">
        <v>70</v>
      </c>
      <c r="B62" s="14">
        <v>5.0</v>
      </c>
      <c r="C62" s="14">
        <v>1.7</v>
      </c>
      <c r="D62" s="14">
        <v>102.3</v>
      </c>
      <c r="E62" s="23" t="str">
        <f t="array" ref="E62">IF(C61&lt;statistics_analysis!$C$14,"low outlier",IF(C61&gt;statistics_analysis!$C$15,"high outlier","normal"))</f>
        <v>normal</v>
      </c>
    </row>
    <row r="63">
      <c r="A63" s="13" t="s">
        <v>71</v>
      </c>
      <c r="B63" s="14">
        <v>7.0</v>
      </c>
      <c r="C63" s="14">
        <v>10.1</v>
      </c>
      <c r="D63" s="14">
        <v>139.7</v>
      </c>
      <c r="E63" s="23" t="str">
        <f t="array" ref="E63">IF(C62&lt;statistics_analysis!$C$14,"low outlier",IF(C62&gt;statistics_analysis!$C$15,"high outlier","normal"))</f>
        <v>normal</v>
      </c>
    </row>
    <row r="64">
      <c r="A64" s="13" t="s">
        <v>72</v>
      </c>
      <c r="B64" s="14">
        <v>4.0</v>
      </c>
      <c r="C64" s="14">
        <v>9.15</v>
      </c>
      <c r="D64" s="14">
        <v>139.1</v>
      </c>
      <c r="E64" s="23" t="str">
        <f t="array" ref="E64">IF(C63&lt;statistics_analysis!$C$14,"low outlier",IF(C63&gt;statistics_analysis!$C$15,"high outlier","normal"))</f>
        <v>normal</v>
      </c>
    </row>
    <row r="65">
      <c r="A65" s="13" t="s">
        <v>73</v>
      </c>
      <c r="B65" s="14">
        <v>9.0</v>
      </c>
      <c r="C65" s="14">
        <v>1.98</v>
      </c>
      <c r="D65" s="14">
        <v>103.5</v>
      </c>
      <c r="E65" s="23" t="str">
        <f t="array" ref="E65">IF(C64&lt;statistics_analysis!$C$14,"low outlier",IF(C64&gt;statistics_analysis!$C$15,"high outlier","normal"))</f>
        <v>normal</v>
      </c>
    </row>
    <row r="66">
      <c r="A66" s="13" t="s">
        <v>74</v>
      </c>
      <c r="B66" s="14">
        <v>4.0</v>
      </c>
      <c r="C66" s="14">
        <v>12.21</v>
      </c>
      <c r="D66" s="14">
        <v>60.4</v>
      </c>
      <c r="E66" s="23" t="str">
        <f t="array" ref="E66">IF(C65&lt;statistics_analysis!$C$14,"low outlier",IF(C65&gt;statistics_analysis!$C$15,"high outlier","normal"))</f>
        <v>normal</v>
      </c>
    </row>
    <row r="67">
      <c r="A67" s="13" t="s">
        <v>75</v>
      </c>
      <c r="B67" s="14">
        <v>5.0</v>
      </c>
      <c r="C67" s="14">
        <v>6.07</v>
      </c>
      <c r="D67" s="14">
        <v>101.7</v>
      </c>
      <c r="E67" s="23" t="str">
        <f t="array" ref="E67">IF(C66&lt;statistics_analysis!$C$14,"low outlier",IF(C66&gt;statistics_analysis!$C$15,"high outlier","normal"))</f>
        <v>normal</v>
      </c>
    </row>
    <row r="68">
      <c r="A68" s="13" t="s">
        <v>76</v>
      </c>
      <c r="B68" s="14">
        <v>2.0</v>
      </c>
      <c r="C68" s="14">
        <v>11.02</v>
      </c>
      <c r="D68" s="14">
        <v>140.3</v>
      </c>
      <c r="E68" s="23" t="str">
        <f t="array" ref="E68">IF(C67&lt;statistics_analysis!$C$14,"low outlier",IF(C67&gt;statistics_analysis!$C$15,"high outlier","normal"))</f>
        <v>normal</v>
      </c>
    </row>
    <row r="69">
      <c r="A69" s="13" t="s">
        <v>77</v>
      </c>
      <c r="B69" s="14">
        <v>6.0</v>
      </c>
      <c r="C69" s="14">
        <v>18.16</v>
      </c>
      <c r="D69" s="14">
        <v>96.7</v>
      </c>
      <c r="E69" s="23" t="str">
        <f t="array" ref="E69">IF(C68&lt;statistics_analysis!$C$14,"low outlier",IF(C68&gt;statistics_analysis!$C$15,"high outlier","normal"))</f>
        <v>normal</v>
      </c>
    </row>
    <row r="70">
      <c r="A70" s="13" t="s">
        <v>78</v>
      </c>
      <c r="B70" s="14">
        <v>3.0</v>
      </c>
      <c r="C70" s="14">
        <v>1.86</v>
      </c>
      <c r="D70" s="14">
        <v>119.7</v>
      </c>
      <c r="E70" s="23" t="str">
        <f t="array" ref="E70">IF(C69&lt;statistics_analysis!$C$14,"low outlier",IF(C69&gt;statistics_analysis!$C$15,"high outlier","normal"))</f>
        <v>normal</v>
      </c>
    </row>
    <row r="71">
      <c r="A71" s="13" t="s">
        <v>79</v>
      </c>
      <c r="B71" s="14">
        <v>6.0</v>
      </c>
      <c r="C71" s="14">
        <v>0.19</v>
      </c>
      <c r="D71" s="14">
        <v>100.3</v>
      </c>
      <c r="E71" s="23" t="str">
        <f t="array" ref="E71">IF(C70&lt;statistics_analysis!$C$14,"low outlier",IF(C70&gt;statistics_analysis!$C$15,"high outlier","normal"))</f>
        <v>normal</v>
      </c>
    </row>
    <row r="72">
      <c r="A72" s="13" t="s">
        <v>80</v>
      </c>
      <c r="B72" s="14">
        <v>2.0</v>
      </c>
      <c r="C72" s="14">
        <v>15.1</v>
      </c>
      <c r="D72" s="14">
        <v>62.0</v>
      </c>
      <c r="E72" s="23" t="str">
        <f t="array" ref="E72">IF(C71&lt;statistics_analysis!$C$14,"low outlier",IF(C71&gt;statistics_analysis!$C$15,"high outlier","normal"))</f>
        <v>normal</v>
      </c>
    </row>
    <row r="73">
      <c r="A73" s="13" t="s">
        <v>81</v>
      </c>
      <c r="B73" s="14">
        <v>3.0</v>
      </c>
      <c r="C73" s="14">
        <v>9.41</v>
      </c>
      <c r="D73" s="14">
        <v>99.7</v>
      </c>
      <c r="E73" s="23" t="str">
        <f t="array" ref="E73">IF(C72&lt;statistics_analysis!$C$14,"low outlier",IF(C72&gt;statistics_analysis!$C$15,"high outlier","normal"))</f>
        <v>normal</v>
      </c>
    </row>
    <row r="74">
      <c r="A74" s="13" t="s">
        <v>82</v>
      </c>
      <c r="B74" s="14">
        <v>5.0</v>
      </c>
      <c r="C74" s="14">
        <v>12.03</v>
      </c>
      <c r="D74" s="14">
        <v>140.2</v>
      </c>
      <c r="E74" s="23" t="str">
        <f t="array" ref="E74">IF(C73&lt;statistics_analysis!$C$14,"low outlier",IF(C73&gt;statistics_analysis!$C$15,"high outlier","normal"))</f>
        <v>normal</v>
      </c>
    </row>
    <row r="75">
      <c r="A75" s="13" t="s">
        <v>83</v>
      </c>
      <c r="B75" s="14">
        <v>3.0</v>
      </c>
      <c r="C75" s="14">
        <v>18.21</v>
      </c>
      <c r="D75" s="14">
        <v>48.9</v>
      </c>
      <c r="E75" s="23" t="str">
        <f t="array" ref="E75">IF(C74&lt;statistics_analysis!$C$14,"low outlier",IF(C74&gt;statistics_analysis!$C$15,"high outlier","normal"))</f>
        <v>normal</v>
      </c>
    </row>
    <row r="76">
      <c r="A76" s="13" t="s">
        <v>84</v>
      </c>
      <c r="B76" s="14">
        <v>4.0</v>
      </c>
      <c r="C76" s="14">
        <v>16.24</v>
      </c>
      <c r="D76" s="14">
        <v>127.6</v>
      </c>
      <c r="E76" s="23" t="str">
        <f t="array" ref="E76">IF(C75&lt;statistics_analysis!$C$14,"low outlier",IF(C75&gt;statistics_analysis!$C$15,"high outlier","normal"))</f>
        <v>normal</v>
      </c>
    </row>
    <row r="77">
      <c r="A77" s="13" t="s">
        <v>85</v>
      </c>
      <c r="B77" s="14">
        <v>5.0</v>
      </c>
      <c r="C77" s="14">
        <v>32.42</v>
      </c>
      <c r="D77" s="14">
        <v>84.4</v>
      </c>
      <c r="E77" s="23" t="str">
        <f t="array" ref="E77">IF(C76&lt;statistics_analysis!$C$14,"low outlier",IF(C76&gt;statistics_analysis!$C$15,"high outlier","normal"))</f>
        <v>normal</v>
      </c>
    </row>
    <row r="78">
      <c r="A78" s="13" t="s">
        <v>86</v>
      </c>
      <c r="B78" s="14">
        <v>6.0</v>
      </c>
      <c r="C78" s="14">
        <v>7.68</v>
      </c>
      <c r="D78" s="14">
        <v>138.3</v>
      </c>
      <c r="E78" s="23" t="str">
        <f t="array" ref="E78">IF(C77&lt;statistics_analysis!$C$14,"low outlier",IF(C77&gt;statistics_analysis!$C$15,"high outlier","normal"))</f>
        <v>high outlier</v>
      </c>
    </row>
    <row r="79">
      <c r="A79" s="13" t="s">
        <v>87</v>
      </c>
      <c r="B79" s="14">
        <v>3.0</v>
      </c>
      <c r="C79" s="14">
        <v>6.7</v>
      </c>
      <c r="D79" s="14">
        <v>141.4</v>
      </c>
      <c r="E79" s="23" t="str">
        <f t="array" ref="E79">IF(C78&lt;statistics_analysis!$C$14,"low outlier",IF(C78&gt;statistics_analysis!$C$15,"high outlier","normal"))</f>
        <v>normal</v>
      </c>
    </row>
    <row r="80">
      <c r="A80" s="13" t="s">
        <v>88</v>
      </c>
      <c r="B80" s="14">
        <v>3.0</v>
      </c>
      <c r="C80" s="14">
        <v>5.14</v>
      </c>
      <c r="D80" s="14">
        <v>114.8</v>
      </c>
      <c r="E80" s="23" t="str">
        <f t="array" ref="E80">IF(C79&lt;statistics_analysis!$C$14,"low outlier",IF(C79&gt;statistics_analysis!$C$15,"high outlier","normal"))</f>
        <v>normal</v>
      </c>
    </row>
    <row r="81">
      <c r="A81" s="13" t="s">
        <v>89</v>
      </c>
      <c r="B81" s="14">
        <v>4.0</v>
      </c>
      <c r="C81" s="14">
        <v>1.67</v>
      </c>
      <c r="D81" s="14">
        <v>114.9</v>
      </c>
      <c r="E81" s="23" t="str">
        <f t="array" ref="E81">IF(C80&lt;statistics_analysis!$C$14,"low outlier",IF(C80&gt;statistics_analysis!$C$15,"high outlier","normal"))</f>
        <v>normal</v>
      </c>
    </row>
    <row r="82">
      <c r="A82" s="13" t="s">
        <v>90</v>
      </c>
      <c r="B82" s="14">
        <v>5.0</v>
      </c>
      <c r="C82" s="14">
        <v>8.5</v>
      </c>
      <c r="D82" s="14">
        <v>95.8</v>
      </c>
      <c r="E82" s="23" t="str">
        <f t="array" ref="E82">IF(C81&lt;statistics_analysis!$C$14,"low outlier",IF(C81&gt;statistics_analysis!$C$15,"high outlier","normal"))</f>
        <v>normal</v>
      </c>
    </row>
    <row r="83">
      <c r="A83" s="13" t="s">
        <v>91</v>
      </c>
      <c r="B83" s="14">
        <v>4.0</v>
      </c>
      <c r="C83" s="14">
        <v>3.24</v>
      </c>
      <c r="D83" s="14">
        <v>79.6</v>
      </c>
      <c r="E83" s="23" t="str">
        <f t="array" ref="E83">IF(C82&lt;statistics_analysis!$C$14,"low outlier",IF(C82&gt;statistics_analysis!$C$15,"high outlier","normal"))</f>
        <v>normal</v>
      </c>
    </row>
    <row r="84">
      <c r="A84" s="13" t="s">
        <v>92</v>
      </c>
      <c r="B84" s="14">
        <v>2.0</v>
      </c>
      <c r="C84" s="14">
        <v>25.42</v>
      </c>
      <c r="D84" s="14">
        <v>170.9</v>
      </c>
      <c r="E84" s="23" t="str">
        <f t="array" ref="E84">IF(C83&lt;statistics_analysis!$C$14,"low outlier",IF(C83&gt;statistics_analysis!$C$15,"high outlier","normal"))</f>
        <v>normal</v>
      </c>
    </row>
    <row r="85">
      <c r="A85" s="13" t="s">
        <v>93</v>
      </c>
      <c r="B85" s="14">
        <v>6.0</v>
      </c>
      <c r="C85" s="14">
        <v>8.75</v>
      </c>
      <c r="D85" s="14">
        <v>94.0</v>
      </c>
      <c r="E85" s="23" t="str">
        <f t="array" ref="E85">IF(C84&lt;statistics_analysis!$C$14,"low outlier",IF(C84&gt;statistics_analysis!$C$15,"high outlier","normal"))</f>
        <v>normal</v>
      </c>
    </row>
    <row r="86">
      <c r="A86" s="13" t="s">
        <v>94</v>
      </c>
      <c r="B86" s="14">
        <v>6.0</v>
      </c>
      <c r="C86" s="14">
        <v>8.99</v>
      </c>
      <c r="D86" s="14">
        <v>167.0</v>
      </c>
      <c r="E86" s="23" t="str">
        <f t="array" ref="E86">IF(C85&lt;statistics_analysis!$C$14,"low outlier",IF(C85&gt;statistics_analysis!$C$15,"high outlier","normal"))</f>
        <v>normal</v>
      </c>
    </row>
    <row r="87">
      <c r="A87" s="13" t="s">
        <v>95</v>
      </c>
      <c r="B87" s="14">
        <v>8.0</v>
      </c>
      <c r="C87" s="14">
        <v>4.38</v>
      </c>
      <c r="D87" s="14">
        <v>94.2</v>
      </c>
      <c r="E87" s="23" t="str">
        <f t="array" ref="E87">IF(C86&lt;statistics_analysis!$C$14,"low outlier",IF(C86&gt;statistics_analysis!$C$15,"high outlier","normal"))</f>
        <v>normal</v>
      </c>
    </row>
    <row r="88">
      <c r="A88" s="13" t="s">
        <v>96</v>
      </c>
      <c r="B88" s="14">
        <v>1.0</v>
      </c>
      <c r="C88" s="14">
        <v>0.53</v>
      </c>
      <c r="D88" s="14">
        <v>135.8</v>
      </c>
      <c r="E88" s="23" t="str">
        <f t="array" ref="E88">IF(C87&lt;statistics_analysis!$C$14,"low outlier",IF(C87&gt;statistics_analysis!$C$15,"high outlier","normal"))</f>
        <v>normal</v>
      </c>
    </row>
    <row r="89">
      <c r="A89" s="13" t="s">
        <v>97</v>
      </c>
      <c r="B89" s="14">
        <v>6.0</v>
      </c>
      <c r="C89" s="14">
        <v>0.32</v>
      </c>
      <c r="D89" s="14">
        <v>85.9</v>
      </c>
      <c r="E89" s="23" t="str">
        <f t="array" ref="E89">IF(C88&lt;statistics_analysis!$C$14,"low outlier",IF(C88&gt;statistics_analysis!$C$15,"high outlier","normal"))</f>
        <v>normal</v>
      </c>
    </row>
    <row r="90">
      <c r="A90" s="13" t="s">
        <v>98</v>
      </c>
      <c r="B90" s="14">
        <v>2.0</v>
      </c>
      <c r="C90" s="14">
        <v>5.5</v>
      </c>
      <c r="D90" s="14">
        <v>135.7</v>
      </c>
      <c r="E90" s="23" t="str">
        <f t="array" ref="E90">IF(C89&lt;statistics_analysis!$C$14,"low outlier",IF(C89&gt;statistics_analysis!$C$15,"high outlier","normal"))</f>
        <v>normal</v>
      </c>
    </row>
    <row r="91">
      <c r="A91" s="13" t="s">
        <v>99</v>
      </c>
      <c r="B91" s="14">
        <v>5.0</v>
      </c>
      <c r="C91" s="14">
        <v>0.88</v>
      </c>
      <c r="D91" s="14">
        <v>110.2</v>
      </c>
      <c r="E91" s="23" t="str">
        <f t="array" ref="E91">IF(C90&lt;statistics_analysis!$C$14,"low outlier",IF(C90&gt;statistics_analysis!$C$15,"high outlier","normal"))</f>
        <v>normal</v>
      </c>
    </row>
    <row r="92">
      <c r="A92" s="13">
        <v>6.5451583E7</v>
      </c>
      <c r="B92" s="14">
        <v>2.0</v>
      </c>
      <c r="C92" s="14">
        <v>9.34</v>
      </c>
      <c r="D92" s="14">
        <v>110.6</v>
      </c>
      <c r="E92" s="23" t="str">
        <f t="array" ref="E92">IF(C91&lt;statistics_analysis!$C$14,"low outlier",IF(C91&gt;statistics_analysis!$C$15,"high outlier","normal"))</f>
        <v>normal</v>
      </c>
    </row>
    <row r="93">
      <c r="A93" s="13" t="s">
        <v>100</v>
      </c>
      <c r="B93" s="14">
        <v>6.0</v>
      </c>
      <c r="C93" s="14">
        <v>21.28</v>
      </c>
      <c r="D93" s="14">
        <v>138.3</v>
      </c>
      <c r="E93" s="23" t="str">
        <f t="array" ref="E93">IF(C92&lt;statistics_analysis!$C$14,"low outlier",IF(C92&gt;statistics_analysis!$C$15,"high outlier","normal"))</f>
        <v>normal</v>
      </c>
    </row>
    <row r="94">
      <c r="A94" s="13" t="s">
        <v>101</v>
      </c>
      <c r="B94" s="14">
        <v>4.0</v>
      </c>
      <c r="C94" s="14">
        <v>21.45</v>
      </c>
      <c r="D94" s="14">
        <v>105.9</v>
      </c>
      <c r="E94" s="23" t="str">
        <f t="array" ref="E94">IF(C93&lt;statistics_analysis!$C$14,"low outlier",IF(C93&gt;statistics_analysis!$C$15,"high outlier","normal"))</f>
        <v>normal</v>
      </c>
    </row>
    <row r="95">
      <c r="A95" s="13" t="s">
        <v>102</v>
      </c>
      <c r="B95" s="14">
        <v>3.0</v>
      </c>
      <c r="C95" s="14">
        <v>10.76</v>
      </c>
      <c r="D95" s="14">
        <v>77.2</v>
      </c>
      <c r="E95" s="23" t="str">
        <f t="array" ref="E95">IF(C94&lt;statistics_analysis!$C$14,"low outlier",IF(C94&gt;statistics_analysis!$C$15,"high outlier","normal"))</f>
        <v>normal</v>
      </c>
    </row>
    <row r="96">
      <c r="A96" s="13" t="s">
        <v>103</v>
      </c>
      <c r="B96" s="14">
        <v>5.0</v>
      </c>
      <c r="C96" s="14">
        <v>2.37</v>
      </c>
      <c r="D96" s="14">
        <v>142.8</v>
      </c>
      <c r="E96" s="23" t="str">
        <f t="array" ref="E96">IF(C95&lt;statistics_analysis!$C$14,"low outlier",IF(C95&gt;statistics_analysis!$C$15,"high outlier","normal"))</f>
        <v>normal</v>
      </c>
    </row>
    <row r="97">
      <c r="A97" s="13" t="s">
        <v>104</v>
      </c>
      <c r="B97" s="14">
        <v>6.0</v>
      </c>
      <c r="C97" s="14">
        <v>19.88</v>
      </c>
      <c r="D97" s="14">
        <v>85.6</v>
      </c>
      <c r="E97" s="23" t="str">
        <f t="array" ref="E97">IF(C96&lt;statistics_analysis!$C$14,"low outlier",IF(C96&gt;statistics_analysis!$C$15,"high outlier","normal"))</f>
        <v>normal</v>
      </c>
    </row>
    <row r="98">
      <c r="A98" s="13" t="s">
        <v>105</v>
      </c>
      <c r="B98" s="14">
        <v>3.0</v>
      </c>
      <c r="C98" s="14">
        <v>21.72</v>
      </c>
      <c r="D98" s="14">
        <v>135.5</v>
      </c>
      <c r="E98" s="23" t="str">
        <f t="array" ref="E98">IF(C97&lt;statistics_analysis!$C$14,"low outlier",IF(C97&gt;statistics_analysis!$C$15,"high outlier","normal"))</f>
        <v>normal</v>
      </c>
    </row>
    <row r="99">
      <c r="A99" s="13" t="s">
        <v>106</v>
      </c>
      <c r="B99" s="14">
        <v>4.0</v>
      </c>
      <c r="C99" s="14">
        <v>2.19</v>
      </c>
      <c r="D99" s="14">
        <v>149.2</v>
      </c>
      <c r="E99" s="23" t="str">
        <f t="array" ref="E99">IF(C98&lt;statistics_analysis!$C$14,"low outlier",IF(C98&gt;statistics_analysis!$C$15,"high outlier","normal"))</f>
        <v>normal</v>
      </c>
    </row>
    <row r="100">
      <c r="A100" s="13" t="s">
        <v>107</v>
      </c>
      <c r="B100" s="14">
        <v>8.0</v>
      </c>
      <c r="C100" s="14">
        <v>13.37</v>
      </c>
      <c r="D100" s="14">
        <v>108.7</v>
      </c>
      <c r="E100" s="23" t="str">
        <f t="array" ref="E100">IF(C99&lt;statistics_analysis!$C$14,"low outlier",IF(C99&gt;statistics_analysis!$C$15,"high outlier","normal"))</f>
        <v>normal</v>
      </c>
    </row>
    <row r="101">
      <c r="A101" s="13" t="s">
        <v>108</v>
      </c>
      <c r="B101" s="14">
        <v>4.0</v>
      </c>
      <c r="C101" s="14">
        <v>3.38</v>
      </c>
      <c r="D101" s="14">
        <v>155.5</v>
      </c>
      <c r="E101" s="23" t="str">
        <f t="array" ref="E101">IF(C100&lt;statistics_analysis!$C$14,"low outlier",IF(C100&gt;statistics_analysis!$C$15,"high outlier","normal"))</f>
        <v>normal</v>
      </c>
    </row>
    <row r="102">
      <c r="A102" s="13" t="s">
        <v>109</v>
      </c>
      <c r="B102" s="14">
        <v>10.0</v>
      </c>
      <c r="C102" s="14">
        <v>16.23</v>
      </c>
      <c r="D102" s="14">
        <v>134.5</v>
      </c>
      <c r="E102" s="23" t="str">
        <f t="array" ref="E102">IF(C101&lt;statistics_analysis!$C$14,"low outlier",IF(C101&gt;statistics_analysis!$C$15,"high outlier","normal"))</f>
        <v>normal</v>
      </c>
    </row>
    <row r="103">
      <c r="A103" s="13" t="s">
        <v>110</v>
      </c>
      <c r="B103" s="14">
        <v>4.0</v>
      </c>
      <c r="C103" s="14">
        <v>58.92</v>
      </c>
      <c r="D103" s="14">
        <v>99.1</v>
      </c>
      <c r="E103" s="23" t="str">
        <f t="array" ref="E103">IF(C102&lt;statistics_analysis!$C$14,"low outlier",IF(C102&gt;statistics_analysis!$C$15,"high outlier","normal"))</f>
        <v>normal</v>
      </c>
    </row>
    <row r="104">
      <c r="A104" s="13" t="s">
        <v>111</v>
      </c>
      <c r="B104" s="14">
        <v>5.0</v>
      </c>
      <c r="C104" s="14">
        <v>0.3</v>
      </c>
      <c r="D104" s="14">
        <v>162.0</v>
      </c>
      <c r="E104" s="23" t="str">
        <f t="array" ref="E104">IF(C103&lt;statistics_analysis!$C$14,"low outlier",IF(C103&gt;statistics_analysis!$C$15,"high outlier","normal"))</f>
        <v>high outlier</v>
      </c>
    </row>
    <row r="105">
      <c r="A105" s="13" t="s">
        <v>112</v>
      </c>
      <c r="B105" s="14">
        <v>10.0</v>
      </c>
      <c r="C105" s="14">
        <v>22.77</v>
      </c>
      <c r="D105" s="14">
        <v>85.7</v>
      </c>
      <c r="E105" s="23" t="str">
        <f t="array" ref="E105">IF(C104&lt;statistics_analysis!$C$14,"low outlier",IF(C104&gt;statistics_analysis!$C$15,"high outlier","normal"))</f>
        <v>normal</v>
      </c>
    </row>
    <row r="106">
      <c r="A106" s="13" t="s">
        <v>113</v>
      </c>
      <c r="B106" s="14">
        <v>3.0</v>
      </c>
      <c r="C106" s="14">
        <v>9.75</v>
      </c>
      <c r="D106" s="14">
        <v>108.7</v>
      </c>
      <c r="E106" s="23" t="str">
        <f t="array" ref="E106">IF(C105&lt;statistics_analysis!$C$14,"low outlier",IF(C105&gt;statistics_analysis!$C$15,"high outlier","normal"))</f>
        <v>normal</v>
      </c>
    </row>
    <row r="107">
      <c r="A107" s="13" t="s">
        <v>114</v>
      </c>
      <c r="B107" s="14">
        <v>4.0</v>
      </c>
      <c r="C107" s="14">
        <v>36.26</v>
      </c>
      <c r="D107" s="14">
        <v>113.8</v>
      </c>
      <c r="E107" s="23" t="str">
        <f t="array" ref="E107">IF(C106&lt;statistics_analysis!$C$14,"low outlier",IF(C106&gt;statistics_analysis!$C$15,"high outlier","normal"))</f>
        <v>normal</v>
      </c>
    </row>
    <row r="108">
      <c r="A108" s="13" t="s">
        <v>115</v>
      </c>
      <c r="B108" s="14">
        <v>7.0</v>
      </c>
      <c r="C108" s="14">
        <v>6.26</v>
      </c>
      <c r="D108" s="14">
        <v>138.2</v>
      </c>
      <c r="E108" s="23" t="str">
        <f t="array" ref="E108">IF(C107&lt;statistics_analysis!$C$14,"low outlier",IF(C107&gt;statistics_analysis!$C$15,"high outlier","normal"))</f>
        <v>high outlier</v>
      </c>
    </row>
    <row r="109">
      <c r="A109" s="13" t="s">
        <v>116</v>
      </c>
      <c r="B109" s="14">
        <v>5.0</v>
      </c>
      <c r="C109" s="14">
        <v>18.8</v>
      </c>
      <c r="D109" s="14">
        <v>153.5</v>
      </c>
      <c r="E109" s="23" t="str">
        <f t="array" ref="E109">IF(C108&lt;statistics_analysis!$C$14,"low outlier",IF(C108&gt;statistics_analysis!$C$15,"high outlier","normal"))</f>
        <v>normal</v>
      </c>
    </row>
    <row r="110">
      <c r="A110" s="13" t="s">
        <v>117</v>
      </c>
      <c r="B110" s="14">
        <v>10.0</v>
      </c>
      <c r="C110" s="14">
        <v>0.64</v>
      </c>
      <c r="D110" s="14">
        <v>151.6</v>
      </c>
      <c r="E110" s="23" t="str">
        <f t="array" ref="E110">IF(C109&lt;statistics_analysis!$C$14,"low outlier",IF(C109&gt;statistics_analysis!$C$15,"high outlier","normal"))</f>
        <v>normal</v>
      </c>
    </row>
    <row r="111">
      <c r="A111" s="13" t="s">
        <v>118</v>
      </c>
      <c r="B111" s="14">
        <v>4.0</v>
      </c>
      <c r="C111" s="14">
        <v>4.08</v>
      </c>
      <c r="D111" s="14">
        <v>126.7</v>
      </c>
      <c r="E111" s="23" t="str">
        <f t="array" ref="E111">IF(C110&lt;statistics_analysis!$C$14,"low outlier",IF(C110&gt;statistics_analysis!$C$15,"high outlier","normal"))</f>
        <v>normal</v>
      </c>
    </row>
    <row r="112">
      <c r="A112" s="13" t="s">
        <v>119</v>
      </c>
      <c r="B112" s="14">
        <v>2.0</v>
      </c>
      <c r="C112" s="14">
        <v>0.69</v>
      </c>
      <c r="D112" s="14">
        <v>111.6</v>
      </c>
      <c r="E112" s="23" t="str">
        <f t="array" ref="E112">IF(C111&lt;statistics_analysis!$C$14,"low outlier",IF(C111&gt;statistics_analysis!$C$15,"high outlier","normal"))</f>
        <v>normal</v>
      </c>
    </row>
    <row r="113">
      <c r="A113" s="13" t="s">
        <v>120</v>
      </c>
      <c r="B113" s="14">
        <v>3.0</v>
      </c>
      <c r="C113" s="14">
        <v>37.03</v>
      </c>
      <c r="D113" s="14">
        <v>65.2</v>
      </c>
      <c r="E113" s="23" t="str">
        <f t="array" ref="E113">IF(C112&lt;statistics_analysis!$C$14,"low outlier",IF(C112&gt;statistics_analysis!$C$15,"high outlier","normal"))</f>
        <v>normal</v>
      </c>
    </row>
    <row r="114">
      <c r="A114" s="13" t="s">
        <v>121</v>
      </c>
      <c r="B114" s="14">
        <v>5.0</v>
      </c>
      <c r="C114" s="14">
        <v>16.98</v>
      </c>
      <c r="D114" s="14">
        <v>80.6</v>
      </c>
      <c r="E114" s="23" t="str">
        <f t="array" ref="E114">IF(C113&lt;statistics_analysis!$C$14,"low outlier",IF(C113&gt;statistics_analysis!$C$15,"high outlier","normal"))</f>
        <v>high outlier</v>
      </c>
    </row>
    <row r="115">
      <c r="A115" s="13" t="s">
        <v>122</v>
      </c>
      <c r="B115" s="14">
        <v>8.0</v>
      </c>
      <c r="C115" s="14">
        <v>19.14</v>
      </c>
      <c r="D115" s="14">
        <v>173.0</v>
      </c>
      <c r="E115" s="23" t="str">
        <f t="array" ref="E115">IF(C114&lt;statistics_analysis!$C$14,"low outlier",IF(C114&gt;statistics_analysis!$C$15,"high outlier","normal"))</f>
        <v>normal</v>
      </c>
    </row>
    <row r="116">
      <c r="A116" s="13" t="s">
        <v>123</v>
      </c>
      <c r="B116" s="14">
        <v>4.0</v>
      </c>
      <c r="C116" s="14">
        <v>27.8</v>
      </c>
      <c r="D116" s="14">
        <v>64.9</v>
      </c>
      <c r="E116" s="23" t="str">
        <f t="array" ref="E116">IF(C115&lt;statistics_analysis!$C$14,"low outlier",IF(C115&gt;statistics_analysis!$C$15,"high outlier","normal"))</f>
        <v>normal</v>
      </c>
    </row>
    <row r="117">
      <c r="A117" s="13" t="s">
        <v>124</v>
      </c>
      <c r="B117" s="14">
        <v>3.0</v>
      </c>
      <c r="C117" s="14">
        <v>0.89</v>
      </c>
      <c r="D117" s="14">
        <v>96.5</v>
      </c>
      <c r="E117" s="23" t="str">
        <f t="array" ref="E117">IF(C116&lt;statistics_analysis!$C$14,"low outlier",IF(C116&gt;statistics_analysis!$C$15,"high outlier","normal"))</f>
        <v>normal</v>
      </c>
    </row>
    <row r="118">
      <c r="A118" s="13" t="s">
        <v>125</v>
      </c>
      <c r="B118" s="14">
        <v>8.0</v>
      </c>
      <c r="C118" s="14">
        <v>4.87</v>
      </c>
      <c r="D118" s="14">
        <v>154.3</v>
      </c>
      <c r="E118" s="23" t="str">
        <f t="array" ref="E118">IF(C117&lt;statistics_analysis!$C$14,"low outlier",IF(C117&gt;statistics_analysis!$C$15,"high outlier","normal"))</f>
        <v>normal</v>
      </c>
    </row>
    <row r="119">
      <c r="A119" s="13" t="s">
        <v>126</v>
      </c>
      <c r="B119" s="14">
        <v>6.0</v>
      </c>
      <c r="C119" s="14">
        <v>0.74</v>
      </c>
      <c r="D119" s="14">
        <v>126.3</v>
      </c>
      <c r="E119" s="23" t="str">
        <f t="array" ref="E119">IF(C118&lt;statistics_analysis!$C$14,"low outlier",IF(C118&gt;statistics_analysis!$C$15,"high outlier","normal"))</f>
        <v>normal</v>
      </c>
    </row>
    <row r="120">
      <c r="A120" s="13" t="s">
        <v>127</v>
      </c>
      <c r="B120" s="14">
        <v>8.0</v>
      </c>
      <c r="C120" s="14">
        <v>2.37</v>
      </c>
      <c r="D120" s="14">
        <v>147.8</v>
      </c>
      <c r="E120" s="23" t="str">
        <f t="array" ref="E120">IF(C119&lt;statistics_analysis!$C$14,"low outlier",IF(C119&gt;statistics_analysis!$C$15,"high outlier","normal"))</f>
        <v>normal</v>
      </c>
    </row>
    <row r="121">
      <c r="A121" s="13" t="s">
        <v>128</v>
      </c>
      <c r="B121" s="14">
        <v>3.0</v>
      </c>
      <c r="C121" s="14">
        <v>2.61</v>
      </c>
      <c r="D121" s="14">
        <v>136.3</v>
      </c>
      <c r="E121" s="23" t="str">
        <f t="array" ref="E121">IF(C120&lt;statistics_analysis!$C$14,"low outlier",IF(C120&gt;statistics_analysis!$C$15,"high outlier","normal"))</f>
        <v>normal</v>
      </c>
    </row>
    <row r="122">
      <c r="A122" s="13" t="s">
        <v>129</v>
      </c>
      <c r="B122" s="14">
        <v>3.0</v>
      </c>
      <c r="C122" s="14">
        <v>6.33</v>
      </c>
      <c r="D122" s="14">
        <v>164.1</v>
      </c>
      <c r="E122" s="23" t="str">
        <f t="array" ref="E122">IF(C121&lt;statistics_analysis!$C$14,"low outlier",IF(C121&gt;statistics_analysis!$C$15,"high outlier","normal"))</f>
        <v>normal</v>
      </c>
    </row>
    <row r="123">
      <c r="A123" s="13" t="s">
        <v>130</v>
      </c>
      <c r="B123" s="14">
        <v>5.0</v>
      </c>
      <c r="C123" s="14">
        <v>3.13</v>
      </c>
      <c r="D123" s="14">
        <v>128.9</v>
      </c>
      <c r="E123" s="23" t="str">
        <f t="array" ref="E123">IF(C122&lt;statistics_analysis!$C$14,"low outlier",IF(C122&gt;statistics_analysis!$C$15,"high outlier","normal"))</f>
        <v>normal</v>
      </c>
    </row>
    <row r="124">
      <c r="A124" s="13" t="s">
        <v>131</v>
      </c>
      <c r="B124" s="14">
        <v>11.0</v>
      </c>
      <c r="C124" s="14">
        <v>1.06</v>
      </c>
      <c r="D124" s="14">
        <v>139.9</v>
      </c>
      <c r="E124" s="23" t="str">
        <f t="array" ref="E124">IF(C123&lt;statistics_analysis!$C$14,"low outlier",IF(C123&gt;statistics_analysis!$C$15,"high outlier","normal"))</f>
        <v>normal</v>
      </c>
    </row>
    <row r="125">
      <c r="A125" s="13" t="s">
        <v>132</v>
      </c>
      <c r="B125" s="14">
        <v>7.0</v>
      </c>
      <c r="C125" s="14">
        <v>1.83</v>
      </c>
      <c r="D125" s="14">
        <v>98.3</v>
      </c>
      <c r="E125" s="23" t="str">
        <f t="array" ref="E125">IF(C124&lt;statistics_analysis!$C$14,"low outlier",IF(C124&gt;statistics_analysis!$C$15,"high outlier","normal"))</f>
        <v>normal</v>
      </c>
    </row>
    <row r="126">
      <c r="A126" s="13" t="s">
        <v>133</v>
      </c>
      <c r="B126" s="14">
        <v>4.0</v>
      </c>
      <c r="C126" s="14">
        <v>1.59</v>
      </c>
      <c r="D126" s="14">
        <v>137.6</v>
      </c>
      <c r="E126" s="23" t="str">
        <f t="array" ref="E126">IF(C125&lt;statistics_analysis!$C$14,"low outlier",IF(C125&gt;statistics_analysis!$C$15,"high outlier","normal"))</f>
        <v>normal</v>
      </c>
    </row>
    <row r="127">
      <c r="A127" s="13" t="s">
        <v>134</v>
      </c>
      <c r="B127" s="14">
        <v>3.0</v>
      </c>
      <c r="C127" s="14">
        <v>36.15</v>
      </c>
      <c r="D127" s="14">
        <v>108.1</v>
      </c>
      <c r="E127" s="23" t="str">
        <f t="array" ref="E127">IF(C126&lt;statistics_analysis!$C$14,"low outlier",IF(C126&gt;statistics_analysis!$C$15,"high outlier","normal"))</f>
        <v>normal</v>
      </c>
    </row>
    <row r="128">
      <c r="A128" s="13" t="s">
        <v>135</v>
      </c>
      <c r="B128" s="14">
        <v>8.0</v>
      </c>
      <c r="C128" s="14">
        <v>14.24</v>
      </c>
      <c r="D128" s="14">
        <v>106.4</v>
      </c>
      <c r="E128" s="23" t="str">
        <f t="array" ref="E128">IF(C127&lt;statistics_analysis!$C$14,"low outlier",IF(C127&gt;statistics_analysis!$C$15,"high outlier","normal"))</f>
        <v>high outlier</v>
      </c>
    </row>
    <row r="129">
      <c r="A129" s="13" t="s">
        <v>136</v>
      </c>
      <c r="B129" s="14">
        <v>8.0</v>
      </c>
      <c r="C129" s="14">
        <v>34.35</v>
      </c>
      <c r="D129" s="14">
        <v>146.8</v>
      </c>
      <c r="E129" s="23" t="str">
        <f t="array" ref="E129">IF(C128&lt;statistics_analysis!$C$14,"low outlier",IF(C128&gt;statistics_analysis!$C$15,"high outlier","normal"))</f>
        <v>normal</v>
      </c>
    </row>
    <row r="130">
      <c r="A130" s="13" t="s">
        <v>137</v>
      </c>
      <c r="B130" s="14">
        <v>3.0</v>
      </c>
      <c r="C130" s="14">
        <v>5.79</v>
      </c>
      <c r="D130" s="14">
        <v>147.0</v>
      </c>
      <c r="E130" s="23" t="str">
        <f t="array" ref="E130">IF(C129&lt;statistics_analysis!$C$14,"low outlier",IF(C129&gt;statistics_analysis!$C$15,"high outlier","normal"))</f>
        <v>high outlier</v>
      </c>
    </row>
    <row r="131">
      <c r="A131" s="13" t="s">
        <v>138</v>
      </c>
      <c r="B131" s="14">
        <v>3.0</v>
      </c>
      <c r="C131" s="14">
        <v>3.26</v>
      </c>
      <c r="D131" s="14">
        <v>170.7</v>
      </c>
      <c r="E131" s="23" t="str">
        <f t="array" ref="E131">IF(C130&lt;statistics_analysis!$C$14,"low outlier",IF(C130&gt;statistics_analysis!$C$15,"high outlier","normal"))</f>
        <v>normal</v>
      </c>
    </row>
    <row r="132">
      <c r="A132" s="13" t="s">
        <v>139</v>
      </c>
      <c r="B132" s="14">
        <v>6.0</v>
      </c>
      <c r="C132" s="14">
        <v>16.01</v>
      </c>
      <c r="D132" s="14">
        <v>168.7</v>
      </c>
      <c r="E132" s="23" t="str">
        <f t="array" ref="E132">IF(C131&lt;statistics_analysis!$C$14,"low outlier",IF(C131&gt;statistics_analysis!$C$15,"high outlier","normal"))</f>
        <v>normal</v>
      </c>
    </row>
    <row r="133">
      <c r="A133" s="13" t="s">
        <v>140</v>
      </c>
      <c r="B133" s="14">
        <v>2.0</v>
      </c>
      <c r="C133" s="14">
        <v>3.95</v>
      </c>
      <c r="D133" s="14">
        <v>147.5</v>
      </c>
      <c r="E133" s="23" t="str">
        <f t="array" ref="E133">IF(C132&lt;statistics_analysis!$C$14,"low outlier",IF(C132&gt;statistics_analysis!$C$15,"high outlier","normal"))</f>
        <v>normal</v>
      </c>
    </row>
    <row r="134">
      <c r="A134" s="13" t="s">
        <v>141</v>
      </c>
      <c r="B134" s="14">
        <v>7.0</v>
      </c>
      <c r="C134" s="14">
        <v>3.56</v>
      </c>
      <c r="D134" s="14">
        <v>68.4</v>
      </c>
      <c r="E134" s="23" t="str">
        <f t="array" ref="E134">IF(C133&lt;statistics_analysis!$C$14,"low outlier",IF(C133&gt;statistics_analysis!$C$15,"high outlier","normal"))</f>
        <v>normal</v>
      </c>
    </row>
    <row r="135">
      <c r="A135" s="13" t="s">
        <v>142</v>
      </c>
      <c r="B135" s="14">
        <v>5.0</v>
      </c>
      <c r="C135" s="14">
        <v>2.65</v>
      </c>
      <c r="D135" s="14">
        <v>174.8</v>
      </c>
      <c r="E135" s="23" t="str">
        <f t="array" ref="E135">IF(C134&lt;statistics_analysis!$C$14,"low outlier",IF(C134&gt;statistics_analysis!$C$15,"high outlier","normal"))</f>
        <v>normal</v>
      </c>
    </row>
    <row r="136">
      <c r="A136" s="13" t="s">
        <v>143</v>
      </c>
      <c r="B136" s="14">
        <v>5.0</v>
      </c>
      <c r="C136" s="14">
        <v>1.39</v>
      </c>
      <c r="D136" s="14">
        <v>147.5</v>
      </c>
      <c r="E136" s="23" t="str">
        <f t="array" ref="E136">IF(C135&lt;statistics_analysis!$C$14,"low outlier",IF(C135&gt;statistics_analysis!$C$15,"high outlier","normal"))</f>
        <v>normal</v>
      </c>
    </row>
    <row r="137">
      <c r="A137" s="13" t="s">
        <v>144</v>
      </c>
      <c r="B137" s="14">
        <v>6.0</v>
      </c>
      <c r="C137" s="14">
        <v>2.96</v>
      </c>
      <c r="D137" s="14">
        <v>97.0</v>
      </c>
      <c r="E137" s="23" t="str">
        <f t="array" ref="E137">IF(C136&lt;statistics_analysis!$C$14,"low outlier",IF(C136&gt;statistics_analysis!$C$15,"high outlier","normal"))</f>
        <v>normal</v>
      </c>
    </row>
    <row r="138">
      <c r="A138" s="13" t="s">
        <v>145</v>
      </c>
      <c r="B138" s="14">
        <v>1.0</v>
      </c>
      <c r="C138" s="14">
        <v>4.39</v>
      </c>
      <c r="D138" s="14">
        <v>141.9</v>
      </c>
      <c r="E138" s="23" t="str">
        <f t="array" ref="E138">IF(C137&lt;statistics_analysis!$C$14,"low outlier",IF(C137&gt;statistics_analysis!$C$15,"high outlier","normal"))</f>
        <v>normal</v>
      </c>
    </row>
    <row r="139">
      <c r="A139" s="13" t="s">
        <v>146</v>
      </c>
      <c r="B139" s="14">
        <v>10.0</v>
      </c>
      <c r="C139" s="14">
        <v>11.21</v>
      </c>
      <c r="D139" s="14">
        <v>88.9</v>
      </c>
      <c r="E139" s="23" t="str">
        <f t="array" ref="E139">IF(C138&lt;statistics_analysis!$C$14,"low outlier",IF(C138&gt;statistics_analysis!$C$15,"high outlier","normal"))</f>
        <v>normal</v>
      </c>
    </row>
    <row r="140">
      <c r="A140" s="13" t="s">
        <v>147</v>
      </c>
      <c r="B140" s="14">
        <v>2.0</v>
      </c>
      <c r="C140" s="14">
        <v>0.65</v>
      </c>
      <c r="D140" s="14">
        <v>138.6</v>
      </c>
      <c r="E140" s="23" t="str">
        <f t="array" ref="E140">IF(C139&lt;statistics_analysis!$C$14,"low outlier",IF(C139&gt;statistics_analysis!$C$15,"high outlier","normal"))</f>
        <v>normal</v>
      </c>
    </row>
    <row r="141">
      <c r="A141" s="13">
        <v>4.2213759E7</v>
      </c>
      <c r="B141" s="14">
        <v>5.0</v>
      </c>
      <c r="C141" s="14">
        <v>2.36</v>
      </c>
      <c r="D141" s="14">
        <v>80.5</v>
      </c>
      <c r="E141" s="23" t="str">
        <f t="array" ref="E141">IF(C140&lt;statistics_analysis!$C$14,"low outlier",IF(C140&gt;statistics_analysis!$C$15,"high outlier","normal"))</f>
        <v>normal</v>
      </c>
    </row>
    <row r="142">
      <c r="A142" s="13" t="s">
        <v>148</v>
      </c>
      <c r="B142" s="14">
        <v>4.0</v>
      </c>
      <c r="C142" s="14">
        <v>16.56</v>
      </c>
      <c r="D142" s="14">
        <v>95.8</v>
      </c>
      <c r="E142" s="23" t="str">
        <f t="array" ref="E142">IF(C141&lt;statistics_analysis!$C$14,"low outlier",IF(C141&gt;statistics_analysis!$C$15,"high outlier","normal"))</f>
        <v>normal</v>
      </c>
    </row>
    <row r="143">
      <c r="A143" s="13" t="s">
        <v>149</v>
      </c>
      <c r="B143" s="14">
        <v>5.0</v>
      </c>
      <c r="C143" s="14">
        <v>1.59</v>
      </c>
      <c r="D143" s="14">
        <v>141.3</v>
      </c>
      <c r="E143" s="23" t="str">
        <f t="array" ref="E143">IF(C142&lt;statistics_analysis!$C$14,"low outlier",IF(C142&gt;statistics_analysis!$C$15,"high outlier","normal"))</f>
        <v>normal</v>
      </c>
    </row>
    <row r="144">
      <c r="A144" s="13" t="s">
        <v>150</v>
      </c>
      <c r="B144" s="14">
        <v>4.0</v>
      </c>
      <c r="C144" s="14">
        <v>4.2</v>
      </c>
      <c r="D144" s="14">
        <v>152.2</v>
      </c>
      <c r="E144" s="23" t="str">
        <f t="array" ref="E144">IF(C143&lt;statistics_analysis!$C$14,"low outlier",IF(C143&gt;statistics_analysis!$C$15,"high outlier","normal"))</f>
        <v>normal</v>
      </c>
    </row>
    <row r="145">
      <c r="A145" s="13" t="s">
        <v>151</v>
      </c>
      <c r="B145" s="14">
        <v>5.0</v>
      </c>
      <c r="C145" s="14">
        <v>20.0</v>
      </c>
      <c r="D145" s="14">
        <v>129.8</v>
      </c>
      <c r="E145" s="23" t="str">
        <f t="array" ref="E145">IF(C144&lt;statistics_analysis!$C$14,"low outlier",IF(C144&gt;statistics_analysis!$C$15,"high outlier","normal"))</f>
        <v>normal</v>
      </c>
    </row>
    <row r="146">
      <c r="A146" s="13" t="s">
        <v>152</v>
      </c>
      <c r="B146" s="14">
        <v>6.0</v>
      </c>
      <c r="C146" s="14">
        <v>1.68</v>
      </c>
      <c r="D146" s="14">
        <v>111.4</v>
      </c>
      <c r="E146" s="23" t="str">
        <f t="array" ref="E146">IF(C145&lt;statistics_analysis!$C$14,"low outlier",IF(C145&gt;statistics_analysis!$C$15,"high outlier","normal"))</f>
        <v>normal</v>
      </c>
    </row>
    <row r="147">
      <c r="A147" s="13" t="s">
        <v>153</v>
      </c>
      <c r="B147" s="14">
        <v>1.0</v>
      </c>
      <c r="C147" s="14">
        <v>0.86</v>
      </c>
      <c r="D147" s="14">
        <v>56.6</v>
      </c>
      <c r="E147" s="23" t="str">
        <f t="array" ref="E147">IF(C146&lt;statistics_analysis!$C$14,"low outlier",IF(C146&gt;statistics_analysis!$C$15,"high outlier","normal"))</f>
        <v>normal</v>
      </c>
    </row>
    <row r="148">
      <c r="A148" s="13" t="s">
        <v>154</v>
      </c>
      <c r="B148" s="14">
        <v>3.0</v>
      </c>
      <c r="C148" s="14">
        <v>6.63</v>
      </c>
      <c r="D148" s="14">
        <v>113.7</v>
      </c>
      <c r="E148" s="23" t="str">
        <f t="array" ref="E148">IF(C147&lt;statistics_analysis!$C$14,"low outlier",IF(C147&gt;statistics_analysis!$C$15,"high outlier","normal"))</f>
        <v>normal</v>
      </c>
    </row>
    <row r="149">
      <c r="A149" s="13" t="s">
        <v>155</v>
      </c>
      <c r="B149" s="14">
        <v>2.0</v>
      </c>
      <c r="C149" s="14">
        <v>3.6</v>
      </c>
      <c r="D149" s="14">
        <v>136.0</v>
      </c>
      <c r="E149" s="23" t="str">
        <f t="array" ref="E149">IF(C148&lt;statistics_analysis!$C$14,"low outlier",IF(C148&gt;statistics_analysis!$C$15,"high outlier","normal"))</f>
        <v>normal</v>
      </c>
    </row>
    <row r="150">
      <c r="A150" s="13" t="s">
        <v>156</v>
      </c>
      <c r="B150" s="14">
        <v>5.0</v>
      </c>
      <c r="C150" s="14">
        <v>8.29</v>
      </c>
      <c r="D150" s="14">
        <v>110.5</v>
      </c>
      <c r="E150" s="23" t="str">
        <f t="array" ref="E150">IF(C149&lt;statistics_analysis!$C$14,"low outlier",IF(C149&gt;statistics_analysis!$C$15,"high outlier","normal"))</f>
        <v>normal</v>
      </c>
    </row>
    <row r="151">
      <c r="A151" s="13" t="s">
        <v>157</v>
      </c>
      <c r="B151" s="14">
        <v>4.0</v>
      </c>
      <c r="C151" s="14">
        <v>16.29</v>
      </c>
      <c r="D151" s="14">
        <v>119.3</v>
      </c>
      <c r="E151" s="23" t="str">
        <f t="array" ref="E151">IF(C150&lt;statistics_analysis!$C$14,"low outlier",IF(C150&gt;statistics_analysis!$C$15,"high outlier","normal"))</f>
        <v>normal</v>
      </c>
    </row>
    <row r="152">
      <c r="A152" s="13" t="s">
        <v>158</v>
      </c>
      <c r="B152" s="14">
        <v>7.0</v>
      </c>
      <c r="C152" s="14">
        <v>1.48</v>
      </c>
      <c r="D152" s="14">
        <v>114.4</v>
      </c>
      <c r="E152" s="23" t="str">
        <f t="array" ref="E152">IF(C151&lt;statistics_analysis!$C$14,"low outlier",IF(C151&gt;statistics_analysis!$C$15,"high outlier","normal"))</f>
        <v>normal</v>
      </c>
    </row>
    <row r="153">
      <c r="A153" s="13" t="s">
        <v>159</v>
      </c>
      <c r="B153" s="14">
        <v>7.0</v>
      </c>
      <c r="C153" s="14">
        <v>8.69</v>
      </c>
      <c r="D153" s="14">
        <v>110.3</v>
      </c>
      <c r="E153" s="23" t="str">
        <f t="array" ref="E153">IF(C152&lt;statistics_analysis!$C$14,"low outlier",IF(C152&gt;statistics_analysis!$C$15,"high outlier","normal"))</f>
        <v>normal</v>
      </c>
    </row>
    <row r="154">
      <c r="A154" s="13" t="s">
        <v>160</v>
      </c>
      <c r="B154" s="14">
        <v>2.0</v>
      </c>
      <c r="C154" s="14">
        <v>7.04</v>
      </c>
      <c r="D154" s="14">
        <v>122.3</v>
      </c>
      <c r="E154" s="23" t="str">
        <f t="array" ref="E154">IF(C153&lt;statistics_analysis!$C$14,"low outlier",IF(C153&gt;statistics_analysis!$C$15,"high outlier","normal"))</f>
        <v>normal</v>
      </c>
    </row>
    <row r="155">
      <c r="A155" s="13" t="s">
        <v>161</v>
      </c>
      <c r="B155" s="14">
        <v>6.0</v>
      </c>
      <c r="C155" s="14">
        <v>1.56</v>
      </c>
      <c r="D155" s="14">
        <v>111.8</v>
      </c>
      <c r="E155" s="23" t="str">
        <f t="array" ref="E155">IF(C154&lt;statistics_analysis!$C$14,"low outlier",IF(C154&gt;statistics_analysis!$C$15,"high outlier","normal"))</f>
        <v>normal</v>
      </c>
    </row>
    <row r="156">
      <c r="A156" s="13" t="s">
        <v>162</v>
      </c>
      <c r="B156" s="14">
        <v>7.0</v>
      </c>
      <c r="C156" s="14">
        <v>9.78</v>
      </c>
      <c r="D156" s="14">
        <v>163.3</v>
      </c>
      <c r="E156" s="23" t="str">
        <f t="array" ref="E156">IF(C155&lt;statistics_analysis!$C$14,"low outlier",IF(C155&gt;statistics_analysis!$C$15,"high outlier","normal"))</f>
        <v>normal</v>
      </c>
    </row>
    <row r="157">
      <c r="A157" s="13">
        <v>6.7465649E7</v>
      </c>
      <c r="B157" s="14">
        <v>2.0</v>
      </c>
      <c r="C157" s="14">
        <v>3.2</v>
      </c>
      <c r="D157" s="14">
        <v>53.8</v>
      </c>
      <c r="E157" s="23" t="str">
        <f t="array" ref="E157">IF(C156&lt;statistics_analysis!$C$14,"low outlier",IF(C156&gt;statistics_analysis!$C$15,"high outlier","normal"))</f>
        <v>normal</v>
      </c>
    </row>
    <row r="158">
      <c r="A158" s="13" t="s">
        <v>163</v>
      </c>
      <c r="B158" s="14">
        <v>7.0</v>
      </c>
      <c r="C158" s="14">
        <v>6.69</v>
      </c>
      <c r="D158" s="14">
        <v>103.6</v>
      </c>
      <c r="E158" s="23" t="str">
        <f t="array" ref="E158">IF(C157&lt;statistics_analysis!$C$14,"low outlier",IF(C157&gt;statistics_analysis!$C$15,"high outlier","normal"))</f>
        <v>normal</v>
      </c>
    </row>
    <row r="159">
      <c r="A159" s="13" t="s">
        <v>164</v>
      </c>
      <c r="B159" s="14">
        <v>5.0</v>
      </c>
      <c r="C159" s="14">
        <v>0.86</v>
      </c>
      <c r="D159" s="14">
        <v>93.9</v>
      </c>
      <c r="E159" s="23" t="str">
        <f t="array" ref="E159">IF(C158&lt;statistics_analysis!$C$14,"low outlier",IF(C158&gt;statistics_analysis!$C$15,"high outlier","normal"))</f>
        <v>normal</v>
      </c>
    </row>
    <row r="160">
      <c r="A160" s="13" t="s">
        <v>165</v>
      </c>
      <c r="B160" s="14">
        <v>7.0</v>
      </c>
      <c r="C160" s="14">
        <v>6.15</v>
      </c>
      <c r="D160" s="14">
        <v>126.6</v>
      </c>
      <c r="E160" s="23" t="str">
        <f t="array" ref="E160">IF(C159&lt;statistics_analysis!$C$14,"low outlier",IF(C159&gt;statistics_analysis!$C$15,"high outlier","normal"))</f>
        <v>normal</v>
      </c>
    </row>
    <row r="161">
      <c r="A161" s="13" t="s">
        <v>166</v>
      </c>
      <c r="B161" s="14">
        <v>6.0</v>
      </c>
      <c r="C161" s="14">
        <v>3.66</v>
      </c>
      <c r="D161" s="14">
        <v>122.3</v>
      </c>
      <c r="E161" s="23" t="str">
        <f t="array" ref="E161">IF(C160&lt;statistics_analysis!$C$14,"low outlier",IF(C160&gt;statistics_analysis!$C$15,"high outlier","normal"))</f>
        <v>normal</v>
      </c>
    </row>
    <row r="162">
      <c r="A162" s="13" t="s">
        <v>167</v>
      </c>
      <c r="B162" s="14">
        <v>5.0</v>
      </c>
      <c r="C162" s="14">
        <v>17.28</v>
      </c>
      <c r="D162" s="14">
        <v>168.7</v>
      </c>
      <c r="E162" s="23" t="str">
        <f t="array" ref="E162">IF(C161&lt;statistics_analysis!$C$14,"low outlier",IF(C161&gt;statistics_analysis!$C$15,"high outlier","normal"))</f>
        <v>normal</v>
      </c>
    </row>
    <row r="163">
      <c r="A163" s="13" t="s">
        <v>168</v>
      </c>
      <c r="B163" s="14">
        <v>6.0</v>
      </c>
      <c r="C163" s="14">
        <v>0.59</v>
      </c>
      <c r="D163" s="14">
        <v>178.5</v>
      </c>
      <c r="E163" s="23" t="str">
        <f t="array" ref="E163">IF(C162&lt;statistics_analysis!$C$14,"low outlier",IF(C162&gt;statistics_analysis!$C$15,"high outlier","normal"))</f>
        <v>normal</v>
      </c>
    </row>
    <row r="164">
      <c r="A164" s="13" t="s">
        <v>169</v>
      </c>
      <c r="B164" s="14">
        <v>5.0</v>
      </c>
      <c r="C164" s="14">
        <v>5.42</v>
      </c>
      <c r="D164" s="14">
        <v>96.8</v>
      </c>
      <c r="E164" s="23" t="str">
        <f t="array" ref="E164">IF(C163&lt;statistics_analysis!$C$14,"low outlier",IF(C163&gt;statistics_analysis!$C$15,"high outlier","normal"))</f>
        <v>normal</v>
      </c>
    </row>
    <row r="165">
      <c r="A165" s="13" t="s">
        <v>170</v>
      </c>
      <c r="B165" s="14">
        <v>4.0</v>
      </c>
      <c r="C165" s="14">
        <v>6.13</v>
      </c>
      <c r="D165" s="14">
        <v>120.0</v>
      </c>
      <c r="E165" s="23" t="str">
        <f t="array" ref="E165">IF(C164&lt;statistics_analysis!$C$14,"low outlier",IF(C164&gt;statistics_analysis!$C$15,"high outlier","normal"))</f>
        <v>normal</v>
      </c>
    </row>
    <row r="166">
      <c r="A166" s="13" t="s">
        <v>171</v>
      </c>
      <c r="B166" s="14">
        <v>7.0</v>
      </c>
      <c r="C166" s="14">
        <v>12.91</v>
      </c>
      <c r="D166" s="14">
        <v>125.9</v>
      </c>
      <c r="E166" s="23" t="str">
        <f t="array" ref="E166">IF(C165&lt;statistics_analysis!$C$14,"low outlier",IF(C165&gt;statistics_analysis!$C$15,"high outlier","normal"))</f>
        <v>normal</v>
      </c>
    </row>
    <row r="167">
      <c r="A167" s="13" t="s">
        <v>172</v>
      </c>
      <c r="B167" s="14">
        <v>1.0</v>
      </c>
      <c r="C167" s="14">
        <v>8.54</v>
      </c>
      <c r="D167" s="14">
        <v>96.1</v>
      </c>
      <c r="E167" s="23" t="str">
        <f t="array" ref="E167">IF(C166&lt;statistics_analysis!$C$14,"low outlier",IF(C166&gt;statistics_analysis!$C$15,"high outlier","normal"))</f>
        <v>normal</v>
      </c>
    </row>
    <row r="168">
      <c r="A168" s="13" t="s">
        <v>173</v>
      </c>
      <c r="B168" s="14">
        <v>8.0</v>
      </c>
      <c r="C168" s="14">
        <v>11.0</v>
      </c>
      <c r="D168" s="14">
        <v>138.9</v>
      </c>
      <c r="E168" s="23" t="str">
        <f t="array" ref="E168">IF(C167&lt;statistics_analysis!$C$14,"low outlier",IF(C167&gt;statistics_analysis!$C$15,"high outlier","normal"))</f>
        <v>normal</v>
      </c>
    </row>
    <row r="169">
      <c r="A169" s="13" t="s">
        <v>174</v>
      </c>
      <c r="B169" s="14">
        <v>4.0</v>
      </c>
      <c r="C169" s="14">
        <v>15.01</v>
      </c>
      <c r="D169" s="14">
        <v>112.8</v>
      </c>
      <c r="E169" s="23" t="str">
        <f t="array" ref="E169">IF(C168&lt;statistics_analysis!$C$14,"low outlier",IF(C168&gt;statistics_analysis!$C$15,"high outlier","normal"))</f>
        <v>normal</v>
      </c>
    </row>
    <row r="170">
      <c r="A170" s="13" t="s">
        <v>175</v>
      </c>
      <c r="B170" s="14">
        <v>5.0</v>
      </c>
      <c r="C170" s="14">
        <v>19.82</v>
      </c>
      <c r="D170" s="14">
        <v>88.0</v>
      </c>
      <c r="E170" s="23" t="str">
        <f t="array" ref="E170">IF(C169&lt;statistics_analysis!$C$14,"low outlier",IF(C169&gt;statistics_analysis!$C$15,"high outlier","normal"))</f>
        <v>normal</v>
      </c>
    </row>
    <row r="171">
      <c r="A171" s="13" t="s">
        <v>176</v>
      </c>
      <c r="B171" s="14">
        <v>3.0</v>
      </c>
      <c r="C171" s="14">
        <v>3.77</v>
      </c>
      <c r="D171" s="14">
        <v>111.6</v>
      </c>
      <c r="E171" s="23" t="str">
        <f t="array" ref="E171">IF(C170&lt;statistics_analysis!$C$14,"low outlier",IF(C170&gt;statistics_analysis!$C$15,"high outlier","normal"))</f>
        <v>normal</v>
      </c>
    </row>
    <row r="172">
      <c r="A172" s="13">
        <v>7205854.0</v>
      </c>
      <c r="B172" s="14">
        <v>7.0</v>
      </c>
      <c r="C172" s="14">
        <v>7.72</v>
      </c>
      <c r="D172" s="14">
        <v>90.1</v>
      </c>
      <c r="E172" s="23" t="str">
        <f t="array" ref="E172">IF(C171&lt;statistics_analysis!$C$14,"low outlier",IF(C171&gt;statistics_analysis!$C$15,"high outlier","normal"))</f>
        <v>normal</v>
      </c>
    </row>
    <row r="173">
      <c r="A173" s="13" t="s">
        <v>177</v>
      </c>
      <c r="B173" s="14">
        <v>2.0</v>
      </c>
      <c r="C173" s="14">
        <v>18.33</v>
      </c>
      <c r="D173" s="14">
        <v>151.1</v>
      </c>
      <c r="E173" s="23" t="str">
        <f t="array" ref="E173">IF(C172&lt;statistics_analysis!$C$14,"low outlier",IF(C172&gt;statistics_analysis!$C$15,"high outlier","normal"))</f>
        <v>normal</v>
      </c>
    </row>
    <row r="174">
      <c r="A174" s="13" t="s">
        <v>178</v>
      </c>
      <c r="B174" s="14">
        <v>5.0</v>
      </c>
      <c r="C174" s="14">
        <v>45.52</v>
      </c>
      <c r="D174" s="14">
        <v>177.0</v>
      </c>
      <c r="E174" s="23" t="str">
        <f t="array" ref="E174">IF(C173&lt;statistics_analysis!$C$14,"low outlier",IF(C173&gt;statistics_analysis!$C$15,"high outlier","normal"))</f>
        <v>normal</v>
      </c>
    </row>
    <row r="175">
      <c r="A175" s="13" t="s">
        <v>179</v>
      </c>
      <c r="B175" s="14">
        <v>10.0</v>
      </c>
      <c r="C175" s="14">
        <v>22.03</v>
      </c>
      <c r="D175" s="14">
        <v>127.3</v>
      </c>
      <c r="E175" s="23" t="str">
        <f t="array" ref="E175">IF(C174&lt;statistics_analysis!$C$14,"low outlier",IF(C174&gt;statistics_analysis!$C$15,"high outlier","normal"))</f>
        <v>high outlier</v>
      </c>
    </row>
    <row r="176">
      <c r="A176" s="13" t="s">
        <v>180</v>
      </c>
      <c r="B176" s="14">
        <v>7.0</v>
      </c>
      <c r="C176" s="14">
        <v>4.64</v>
      </c>
      <c r="D176" s="14">
        <v>123.3</v>
      </c>
      <c r="E176" s="23" t="str">
        <f t="array" ref="E176">IF(C175&lt;statistics_analysis!$C$14,"low outlier",IF(C175&gt;statistics_analysis!$C$15,"high outlier","normal"))</f>
        <v>normal</v>
      </c>
    </row>
    <row r="177">
      <c r="A177" s="13" t="s">
        <v>181</v>
      </c>
      <c r="B177" s="14">
        <v>7.0</v>
      </c>
      <c r="C177" s="14">
        <v>2.17</v>
      </c>
      <c r="D177" s="14">
        <v>124.6</v>
      </c>
      <c r="E177" s="23" t="str">
        <f t="array" ref="E177">IF(C176&lt;statistics_analysis!$C$14,"low outlier",IF(C176&gt;statistics_analysis!$C$15,"high outlier","normal"))</f>
        <v>normal</v>
      </c>
    </row>
    <row r="178">
      <c r="A178" s="13" t="s">
        <v>182</v>
      </c>
      <c r="B178" s="14">
        <v>10.0</v>
      </c>
      <c r="C178" s="14">
        <v>6.72</v>
      </c>
      <c r="D178" s="14">
        <v>155.5</v>
      </c>
      <c r="E178" s="23" t="str">
        <f t="array" ref="E178">IF(C177&lt;statistics_analysis!$C$14,"low outlier",IF(C177&gt;statistics_analysis!$C$15,"high outlier","normal"))</f>
        <v>normal</v>
      </c>
    </row>
    <row r="179">
      <c r="A179" s="13" t="s">
        <v>183</v>
      </c>
      <c r="B179" s="14">
        <v>1.0</v>
      </c>
      <c r="C179" s="14">
        <v>13.53</v>
      </c>
      <c r="D179" s="14">
        <v>154.8</v>
      </c>
      <c r="E179" s="23" t="str">
        <f t="array" ref="E179">IF(C178&lt;statistics_analysis!$C$14,"low outlier",IF(C178&gt;statistics_analysis!$C$15,"high outlier","normal"))</f>
        <v>normal</v>
      </c>
    </row>
    <row r="180">
      <c r="A180" s="13" t="s">
        <v>184</v>
      </c>
      <c r="B180" s="14">
        <v>5.0</v>
      </c>
      <c r="C180" s="14">
        <v>6.78</v>
      </c>
      <c r="D180" s="14">
        <v>116.5</v>
      </c>
      <c r="E180" s="23" t="str">
        <f t="array" ref="E180">IF(C179&lt;statistics_analysis!$C$14,"low outlier",IF(C179&gt;statistics_analysis!$C$15,"high outlier","normal"))</f>
        <v>normal</v>
      </c>
    </row>
    <row r="181">
      <c r="A181" s="13" t="s">
        <v>185</v>
      </c>
      <c r="B181" s="14">
        <v>3.0</v>
      </c>
      <c r="C181" s="14">
        <v>6.6</v>
      </c>
      <c r="D181" s="14">
        <v>127.6</v>
      </c>
      <c r="E181" s="23" t="str">
        <f t="array" ref="E181">IF(C180&lt;statistics_analysis!$C$14,"low outlier",IF(C180&gt;statistics_analysis!$C$15,"high outlier","normal"))</f>
        <v>normal</v>
      </c>
    </row>
    <row r="182">
      <c r="A182" s="13" t="s">
        <v>186</v>
      </c>
      <c r="B182" s="14">
        <v>8.0</v>
      </c>
      <c r="C182" s="14">
        <v>18.22</v>
      </c>
      <c r="D182" s="14">
        <v>139.6</v>
      </c>
      <c r="E182" s="23" t="str">
        <f t="array" ref="E182">IF(C181&lt;statistics_analysis!$C$14,"low outlier",IF(C181&gt;statistics_analysis!$C$15,"high outlier","normal"))</f>
        <v>normal</v>
      </c>
    </row>
    <row r="183">
      <c r="A183" s="13" t="s">
        <v>187</v>
      </c>
      <c r="B183" s="14">
        <v>7.0</v>
      </c>
      <c r="C183" s="14">
        <v>4.48</v>
      </c>
      <c r="D183" s="14">
        <v>85.9</v>
      </c>
      <c r="E183" s="23" t="str">
        <f t="array" ref="E183">IF(C182&lt;statistics_analysis!$C$14,"low outlier",IF(C182&gt;statistics_analysis!$C$15,"high outlier","normal"))</f>
        <v>normal</v>
      </c>
    </row>
    <row r="184">
      <c r="A184" s="13" t="s">
        <v>188</v>
      </c>
      <c r="B184" s="14">
        <v>3.0</v>
      </c>
      <c r="C184" s="14">
        <v>19.65</v>
      </c>
      <c r="D184" s="14">
        <v>156.4</v>
      </c>
      <c r="E184" s="23" t="str">
        <f t="array" ref="E184">IF(C183&lt;statistics_analysis!$C$14,"low outlier",IF(C183&gt;statistics_analysis!$C$15,"high outlier","normal"))</f>
        <v>normal</v>
      </c>
    </row>
    <row r="185">
      <c r="A185" s="13" t="s">
        <v>189</v>
      </c>
      <c r="B185" s="14">
        <v>1.0</v>
      </c>
      <c r="C185" s="14">
        <v>5.22</v>
      </c>
      <c r="D185" s="14">
        <v>172.0</v>
      </c>
      <c r="E185" s="23" t="str">
        <f t="array" ref="E185">IF(C184&lt;statistics_analysis!$C$14,"low outlier",IF(C184&gt;statistics_analysis!$C$15,"high outlier","normal"))</f>
        <v>normal</v>
      </c>
    </row>
    <row r="186">
      <c r="A186" s="13" t="s">
        <v>190</v>
      </c>
      <c r="B186" s="14">
        <v>5.0</v>
      </c>
      <c r="C186" s="14">
        <v>3.98</v>
      </c>
      <c r="D186" s="14">
        <v>155.0</v>
      </c>
      <c r="E186" s="23" t="str">
        <f t="array" ref="E186">IF(C185&lt;statistics_analysis!$C$14,"low outlier",IF(C185&gt;statistics_analysis!$C$15,"high outlier","normal"))</f>
        <v>normal</v>
      </c>
    </row>
    <row r="187">
      <c r="A187" s="13" t="s">
        <v>191</v>
      </c>
      <c r="B187" s="14">
        <v>3.0</v>
      </c>
      <c r="C187" s="14">
        <v>6.05</v>
      </c>
      <c r="D187" s="14">
        <v>82.6</v>
      </c>
      <c r="E187" s="23" t="str">
        <f t="array" ref="E187">IF(C186&lt;statistics_analysis!$C$14,"low outlier",IF(C186&gt;statistics_analysis!$C$15,"high outlier","normal"))</f>
        <v>normal</v>
      </c>
    </row>
    <row r="188">
      <c r="A188" s="13" t="s">
        <v>192</v>
      </c>
      <c r="B188" s="14">
        <v>6.0</v>
      </c>
      <c r="C188" s="14">
        <v>14.37</v>
      </c>
      <c r="D188" s="14">
        <v>60.9</v>
      </c>
      <c r="E188" s="23" t="str">
        <f t="array" ref="E188">IF(C187&lt;statistics_analysis!$C$14,"low outlier",IF(C187&gt;statistics_analysis!$C$15,"high outlier","normal"))</f>
        <v>normal</v>
      </c>
    </row>
    <row r="189">
      <c r="A189" s="13" t="s">
        <v>193</v>
      </c>
      <c r="B189" s="14">
        <v>3.0</v>
      </c>
      <c r="C189" s="14">
        <v>1.35</v>
      </c>
      <c r="D189" s="14">
        <v>141.3</v>
      </c>
      <c r="E189" s="23" t="str">
        <f t="array" ref="E189">IF(C188&lt;statistics_analysis!$C$14,"low outlier",IF(C188&gt;statistics_analysis!$C$15,"high outlier","normal"))</f>
        <v>normal</v>
      </c>
    </row>
    <row r="190">
      <c r="A190" s="13" t="s">
        <v>194</v>
      </c>
      <c r="B190" s="14">
        <v>4.0</v>
      </c>
      <c r="C190" s="14">
        <v>2.19</v>
      </c>
      <c r="D190" s="14">
        <v>97.2</v>
      </c>
      <c r="E190" s="23" t="str">
        <f t="array" ref="E190">IF(C189&lt;statistics_analysis!$C$14,"low outlier",IF(C189&gt;statistics_analysis!$C$15,"high outlier","normal"))</f>
        <v>normal</v>
      </c>
    </row>
    <row r="191">
      <c r="A191" s="13" t="s">
        <v>195</v>
      </c>
      <c r="B191" s="14">
        <v>5.0</v>
      </c>
      <c r="C191" s="14">
        <v>30.25</v>
      </c>
      <c r="D191" s="14">
        <v>128.6</v>
      </c>
      <c r="E191" s="23" t="str">
        <f t="array" ref="E191">IF(C190&lt;statistics_analysis!$C$14,"low outlier",IF(C190&gt;statistics_analysis!$C$15,"high outlier","normal"))</f>
        <v>normal</v>
      </c>
    </row>
    <row r="192">
      <c r="A192" s="13" t="s">
        <v>196</v>
      </c>
      <c r="B192" s="14">
        <v>8.0</v>
      </c>
      <c r="C192" s="14">
        <v>1.93</v>
      </c>
      <c r="D192" s="14">
        <v>166.1</v>
      </c>
      <c r="E192" s="23" t="str">
        <f t="array" ref="E192">IF(C191&lt;statistics_analysis!$C$14,"low outlier",IF(C191&gt;statistics_analysis!$C$15,"high outlier","normal"))</f>
        <v>normal</v>
      </c>
    </row>
    <row r="193">
      <c r="A193" s="13" t="s">
        <v>197</v>
      </c>
      <c r="B193" s="14">
        <v>7.0</v>
      </c>
      <c r="C193" s="14">
        <v>8.39</v>
      </c>
      <c r="D193" s="14">
        <v>100.3</v>
      </c>
      <c r="E193" s="23" t="str">
        <f t="array" ref="E193">IF(C192&lt;statistics_analysis!$C$14,"low outlier",IF(C192&gt;statistics_analysis!$C$15,"high outlier","normal"))</f>
        <v>normal</v>
      </c>
    </row>
    <row r="194">
      <c r="A194" s="13" t="s">
        <v>198</v>
      </c>
      <c r="B194" s="14">
        <v>5.0</v>
      </c>
      <c r="C194" s="14">
        <v>8.66</v>
      </c>
      <c r="D194" s="14">
        <v>108.7</v>
      </c>
      <c r="E194" s="23" t="str">
        <f t="array" ref="E194">IF(C193&lt;statistics_analysis!$C$14,"low outlier",IF(C193&gt;statistics_analysis!$C$15,"high outlier","normal"))</f>
        <v>normal</v>
      </c>
    </row>
    <row r="195">
      <c r="A195" s="13" t="s">
        <v>199</v>
      </c>
      <c r="B195" s="14">
        <v>4.0</v>
      </c>
      <c r="C195" s="14">
        <v>6.73</v>
      </c>
      <c r="D195" s="14">
        <v>128.3</v>
      </c>
      <c r="E195" s="23" t="str">
        <f t="array" ref="E195">IF(C194&lt;statistics_analysis!$C$14,"low outlier",IF(C194&gt;statistics_analysis!$C$15,"high outlier","normal"))</f>
        <v>normal</v>
      </c>
    </row>
    <row r="196">
      <c r="A196" s="13" t="s">
        <v>200</v>
      </c>
      <c r="B196" s="14">
        <v>6.0</v>
      </c>
      <c r="C196" s="14">
        <v>10.35</v>
      </c>
      <c r="D196" s="14">
        <v>81.1</v>
      </c>
      <c r="E196" s="23" t="str">
        <f t="array" ref="E196">IF(C195&lt;statistics_analysis!$C$14,"low outlier",IF(C195&gt;statistics_analysis!$C$15,"high outlier","normal"))</f>
        <v>normal</v>
      </c>
    </row>
    <row r="197">
      <c r="A197" s="13" t="s">
        <v>201</v>
      </c>
      <c r="B197" s="14">
        <v>8.0</v>
      </c>
      <c r="C197" s="14">
        <v>2.61</v>
      </c>
      <c r="D197" s="14">
        <v>97.3</v>
      </c>
      <c r="E197" s="23" t="str">
        <f t="array" ref="E197">IF(C196&lt;statistics_analysis!$C$14,"low outlier",IF(C196&gt;statistics_analysis!$C$15,"high outlier","normal"))</f>
        <v>normal</v>
      </c>
    </row>
    <row r="198">
      <c r="A198" s="13" t="s">
        <v>202</v>
      </c>
      <c r="B198" s="14">
        <v>4.0</v>
      </c>
      <c r="C198" s="14">
        <v>8.04</v>
      </c>
      <c r="D198" s="14">
        <v>120.7</v>
      </c>
      <c r="E198" s="23" t="str">
        <f t="array" ref="E198">IF(C197&lt;statistics_analysis!$C$14,"low outlier",IF(C197&gt;statistics_analysis!$C$15,"high outlier","normal"))</f>
        <v>normal</v>
      </c>
    </row>
    <row r="199">
      <c r="A199" s="13">
        <v>5.7756568E7</v>
      </c>
      <c r="B199" s="14">
        <v>3.0</v>
      </c>
      <c r="C199" s="14">
        <v>4.65</v>
      </c>
      <c r="D199" s="14">
        <v>111.0</v>
      </c>
      <c r="E199" s="23" t="str">
        <f t="array" ref="E199">IF(C198&lt;statistics_analysis!$C$14,"low outlier",IF(C198&gt;statistics_analysis!$C$15,"high outlier","normal"))</f>
        <v>normal</v>
      </c>
    </row>
    <row r="200">
      <c r="A200" s="13" t="s">
        <v>203</v>
      </c>
      <c r="B200" s="14">
        <v>2.0</v>
      </c>
      <c r="C200" s="14">
        <v>10.84</v>
      </c>
      <c r="D200" s="14">
        <v>138.3</v>
      </c>
      <c r="E200" s="23" t="str">
        <f t="array" ref="E200">IF(C199&lt;statistics_analysis!$C$14,"low outlier",IF(C199&gt;statistics_analysis!$C$15,"high outlier","normal"))</f>
        <v>normal</v>
      </c>
    </row>
    <row r="201">
      <c r="A201" s="13" t="s">
        <v>204</v>
      </c>
      <c r="B201" s="14">
        <v>3.0</v>
      </c>
      <c r="C201" s="14">
        <v>1.52</v>
      </c>
      <c r="D201" s="14">
        <v>203.0</v>
      </c>
      <c r="E201" s="23" t="str">
        <f t="array" ref="E201">IF(C200&lt;statistics_analysis!$C$14,"low outlier",IF(C200&gt;statistics_analysis!$C$15,"high outlier","normal"))</f>
        <v>normal</v>
      </c>
    </row>
    <row r="202">
      <c r="A202" s="13" t="s">
        <v>205</v>
      </c>
      <c r="B202" s="14">
        <v>9.0</v>
      </c>
      <c r="C202" s="14">
        <v>8.46</v>
      </c>
      <c r="D202" s="14">
        <v>123.0</v>
      </c>
      <c r="E202" s="23" t="str">
        <f t="array" ref="E202">IF(C201&lt;statistics_analysis!$C$14,"low outlier",IF(C201&gt;statistics_analysis!$C$15,"high outlier","normal"))</f>
        <v>normal</v>
      </c>
    </row>
    <row r="203">
      <c r="A203" s="13" t="s">
        <v>206</v>
      </c>
      <c r="B203" s="14">
        <v>5.0</v>
      </c>
      <c r="C203" s="14">
        <v>2.05</v>
      </c>
      <c r="D203" s="14">
        <v>94.7</v>
      </c>
      <c r="E203" s="23" t="str">
        <f t="array" ref="E203">IF(C202&lt;statistics_analysis!$C$14,"low outlier",IF(C202&gt;statistics_analysis!$C$15,"high outlier","normal"))</f>
        <v>normal</v>
      </c>
    </row>
    <row r="204">
      <c r="A204" s="13" t="s">
        <v>207</v>
      </c>
      <c r="B204" s="14">
        <v>4.0</v>
      </c>
      <c r="C204" s="14">
        <v>3.27</v>
      </c>
      <c r="D204" s="14">
        <v>162.5</v>
      </c>
      <c r="E204" s="23" t="str">
        <f t="array" ref="E204">IF(C203&lt;statistics_analysis!$C$14,"low outlier",IF(C203&gt;statistics_analysis!$C$15,"high outlier","normal"))</f>
        <v>normal</v>
      </c>
    </row>
    <row r="205">
      <c r="A205" s="13" t="s">
        <v>208</v>
      </c>
      <c r="B205" s="14">
        <v>7.0</v>
      </c>
      <c r="C205" s="14">
        <v>2.47</v>
      </c>
      <c r="D205" s="14">
        <v>72.3</v>
      </c>
      <c r="E205" s="23" t="str">
        <f t="array" ref="E205">IF(C204&lt;statistics_analysis!$C$14,"low outlier",IF(C204&gt;statistics_analysis!$C$15,"high outlier","normal"))</f>
        <v>normal</v>
      </c>
    </row>
    <row r="206">
      <c r="A206" s="13" t="s">
        <v>209</v>
      </c>
      <c r="B206" s="14">
        <v>8.0</v>
      </c>
      <c r="C206" s="14">
        <v>2.02</v>
      </c>
      <c r="D206" s="14">
        <v>78.3</v>
      </c>
      <c r="E206" s="23" t="str">
        <f t="array" ref="E206">IF(C205&lt;statistics_analysis!$C$14,"low outlier",IF(C205&gt;statistics_analysis!$C$15,"high outlier","normal"))</f>
        <v>normal</v>
      </c>
    </row>
    <row r="207">
      <c r="A207" s="13" t="s">
        <v>210</v>
      </c>
      <c r="B207" s="14">
        <v>4.0</v>
      </c>
      <c r="C207" s="14">
        <v>17.47</v>
      </c>
      <c r="D207" s="14">
        <v>102.1</v>
      </c>
      <c r="E207" s="23" t="str">
        <f t="array" ref="E207">IF(C206&lt;statistics_analysis!$C$14,"low outlier",IF(C206&gt;statistics_analysis!$C$15,"high outlier","normal"))</f>
        <v>normal</v>
      </c>
    </row>
    <row r="208">
      <c r="A208" s="13" t="s">
        <v>211</v>
      </c>
      <c r="B208" s="14">
        <v>4.0</v>
      </c>
      <c r="C208" s="14">
        <v>3.36</v>
      </c>
      <c r="D208" s="14">
        <v>111.5</v>
      </c>
      <c r="E208" s="23" t="str">
        <f t="array" ref="E208">IF(C207&lt;statistics_analysis!$C$14,"low outlier",IF(C207&gt;statistics_analysis!$C$15,"high outlier","normal"))</f>
        <v>normal</v>
      </c>
    </row>
    <row r="209">
      <c r="A209" s="13" t="s">
        <v>212</v>
      </c>
      <c r="B209" s="14">
        <v>8.0</v>
      </c>
      <c r="C209" s="14">
        <v>26.19</v>
      </c>
      <c r="D209" s="14">
        <v>101.4</v>
      </c>
      <c r="E209" s="23" t="str">
        <f t="array" ref="E209">IF(C208&lt;statistics_analysis!$C$14,"low outlier",IF(C208&gt;statistics_analysis!$C$15,"high outlier","normal"))</f>
        <v>normal</v>
      </c>
    </row>
    <row r="210">
      <c r="A210" s="13" t="s">
        <v>213</v>
      </c>
      <c r="B210" s="14">
        <v>5.0</v>
      </c>
      <c r="C210" s="14">
        <v>35.04</v>
      </c>
      <c r="D210" s="14">
        <v>119.1</v>
      </c>
      <c r="E210" s="23" t="str">
        <f t="array" ref="E210">IF(C209&lt;statistics_analysis!$C$14,"low outlier",IF(C209&gt;statistics_analysis!$C$15,"high outlier","normal"))</f>
        <v>normal</v>
      </c>
    </row>
    <row r="211">
      <c r="A211" s="13" t="s">
        <v>214</v>
      </c>
      <c r="B211" s="14">
        <v>5.0</v>
      </c>
      <c r="C211" s="14">
        <v>8.47</v>
      </c>
      <c r="D211" s="14">
        <v>128.2</v>
      </c>
      <c r="E211" s="23" t="str">
        <f t="array" ref="E211">IF(C210&lt;statistics_analysis!$C$14,"low outlier",IF(C210&gt;statistics_analysis!$C$15,"high outlier","normal"))</f>
        <v>high outlier</v>
      </c>
    </row>
    <row r="212">
      <c r="A212" s="13" t="s">
        <v>215</v>
      </c>
      <c r="B212" s="14">
        <v>6.0</v>
      </c>
      <c r="C212" s="14">
        <v>1.54</v>
      </c>
      <c r="D212" s="14">
        <v>152.1</v>
      </c>
      <c r="E212" s="23" t="str">
        <f t="array" ref="E212">IF(C211&lt;statistics_analysis!$C$14,"low outlier",IF(C211&gt;statistics_analysis!$C$15,"high outlier","normal"))</f>
        <v>normal</v>
      </c>
    </row>
    <row r="213">
      <c r="A213" s="13" t="s">
        <v>216</v>
      </c>
      <c r="B213" s="14">
        <v>7.0</v>
      </c>
      <c r="C213" s="14">
        <v>4.69</v>
      </c>
      <c r="D213" s="14">
        <v>122.7</v>
      </c>
      <c r="E213" s="23" t="str">
        <f t="array" ref="E213">IF(C212&lt;statistics_analysis!$C$14,"low outlier",IF(C212&gt;statistics_analysis!$C$15,"high outlier","normal"))</f>
        <v>normal</v>
      </c>
    </row>
    <row r="214">
      <c r="A214" s="13" t="s">
        <v>217</v>
      </c>
      <c r="B214" s="14">
        <v>2.0</v>
      </c>
      <c r="C214" s="14">
        <v>15.98</v>
      </c>
      <c r="D214" s="14">
        <v>103.1</v>
      </c>
      <c r="E214" s="23" t="str">
        <f t="array" ref="E214">IF(C213&lt;statistics_analysis!$C$14,"low outlier",IF(C213&gt;statistics_analysis!$C$15,"high outlier","normal"))</f>
        <v>normal</v>
      </c>
    </row>
    <row r="215">
      <c r="A215" s="13" t="s">
        <v>218</v>
      </c>
      <c r="B215" s="14">
        <v>1.0</v>
      </c>
      <c r="C215" s="14">
        <v>4.58</v>
      </c>
      <c r="D215" s="14">
        <v>150.4</v>
      </c>
      <c r="E215" s="23" t="str">
        <f t="array" ref="E215">IF(C214&lt;statistics_analysis!$C$14,"low outlier",IF(C214&gt;statistics_analysis!$C$15,"high outlier","normal"))</f>
        <v>normal</v>
      </c>
    </row>
    <row r="216">
      <c r="A216" s="13" t="s">
        <v>219</v>
      </c>
      <c r="B216" s="14">
        <v>7.0</v>
      </c>
      <c r="C216" s="14">
        <v>0.91</v>
      </c>
      <c r="D216" s="14">
        <v>95.5</v>
      </c>
      <c r="E216" s="23" t="str">
        <f t="array" ref="E216">IF(C215&lt;statistics_analysis!$C$14,"low outlier",IF(C215&gt;statistics_analysis!$C$15,"high outlier","normal"))</f>
        <v>normal</v>
      </c>
    </row>
    <row r="217">
      <c r="A217" s="13" t="s">
        <v>220</v>
      </c>
      <c r="B217" s="14">
        <v>5.0</v>
      </c>
      <c r="C217" s="14">
        <v>8.14</v>
      </c>
      <c r="D217" s="14">
        <v>71.0</v>
      </c>
      <c r="E217" s="23" t="str">
        <f t="array" ref="E217">IF(C216&lt;statistics_analysis!$C$14,"low outlier",IF(C216&gt;statistics_analysis!$C$15,"high outlier","normal"))</f>
        <v>normal</v>
      </c>
    </row>
    <row r="218">
      <c r="A218" s="13" t="s">
        <v>221</v>
      </c>
      <c r="B218" s="14">
        <v>4.0</v>
      </c>
      <c r="C218" s="14">
        <v>18.65</v>
      </c>
      <c r="D218" s="14">
        <v>156.2</v>
      </c>
      <c r="E218" s="23" t="str">
        <f t="array" ref="E218">IF(C217&lt;statistics_analysis!$C$14,"low outlier",IF(C217&gt;statistics_analysis!$C$15,"high outlier","normal"))</f>
        <v>normal</v>
      </c>
    </row>
    <row r="219">
      <c r="A219" s="13" t="s">
        <v>222</v>
      </c>
      <c r="B219" s="14">
        <v>4.0</v>
      </c>
      <c r="C219" s="14">
        <v>15.89</v>
      </c>
      <c r="D219" s="14">
        <v>154.3</v>
      </c>
      <c r="E219" s="23" t="str">
        <f t="array" ref="E219">IF(C218&lt;statistics_analysis!$C$14,"low outlier",IF(C218&gt;statistics_analysis!$C$15,"high outlier","normal"))</f>
        <v>normal</v>
      </c>
    </row>
    <row r="220">
      <c r="A220" s="13" t="s">
        <v>223</v>
      </c>
      <c r="B220" s="14">
        <v>3.0</v>
      </c>
      <c r="C220" s="14">
        <v>1.93</v>
      </c>
      <c r="D220" s="14">
        <v>96.2</v>
      </c>
      <c r="E220" s="23" t="str">
        <f t="array" ref="E220">IF(C219&lt;statistics_analysis!$C$14,"low outlier",IF(C219&gt;statistics_analysis!$C$15,"high outlier","normal"))</f>
        <v>normal</v>
      </c>
    </row>
    <row r="221">
      <c r="A221" s="13" t="s">
        <v>224</v>
      </c>
      <c r="B221" s="14">
        <v>8.0</v>
      </c>
      <c r="C221" s="14">
        <v>11.17</v>
      </c>
      <c r="D221" s="14">
        <v>108.0</v>
      </c>
      <c r="E221" s="23" t="str">
        <f t="array" ref="E221">IF(C220&lt;statistics_analysis!$C$14,"low outlier",IF(C220&gt;statistics_analysis!$C$15,"high outlier","normal"))</f>
        <v>normal</v>
      </c>
    </row>
    <row r="222">
      <c r="A222" s="13" t="s">
        <v>225</v>
      </c>
      <c r="B222" s="14">
        <v>7.0</v>
      </c>
      <c r="C222" s="14">
        <v>2.49</v>
      </c>
      <c r="D222" s="14">
        <v>92.5</v>
      </c>
      <c r="E222" s="23" t="str">
        <f t="array" ref="E222">IF(C221&lt;statistics_analysis!$C$14,"low outlier",IF(C221&gt;statistics_analysis!$C$15,"high outlier","normal"))</f>
        <v>normal</v>
      </c>
    </row>
    <row r="223">
      <c r="A223" s="13" t="s">
        <v>226</v>
      </c>
      <c r="B223" s="14">
        <v>1.0</v>
      </c>
      <c r="C223" s="14">
        <v>2.46</v>
      </c>
      <c r="D223" s="14">
        <v>129.8</v>
      </c>
      <c r="E223" s="23" t="str">
        <f t="array" ref="E223">IF(C222&lt;statistics_analysis!$C$14,"low outlier",IF(C222&gt;statistics_analysis!$C$15,"high outlier","normal"))</f>
        <v>normal</v>
      </c>
    </row>
    <row r="224">
      <c r="A224" s="13" t="s">
        <v>227</v>
      </c>
      <c r="B224" s="14">
        <v>2.0</v>
      </c>
      <c r="C224" s="14">
        <v>20.72</v>
      </c>
      <c r="D224" s="14">
        <v>172.0</v>
      </c>
      <c r="E224" s="23" t="str">
        <f t="array" ref="E224">IF(C223&lt;statistics_analysis!$C$14,"low outlier",IF(C223&gt;statistics_analysis!$C$15,"high outlier","normal"))</f>
        <v>normal</v>
      </c>
    </row>
    <row r="225">
      <c r="A225" s="13" t="s">
        <v>228</v>
      </c>
      <c r="B225" s="14">
        <v>4.0</v>
      </c>
      <c r="C225" s="14">
        <v>2.87</v>
      </c>
      <c r="D225" s="14">
        <v>141.1</v>
      </c>
      <c r="E225" s="23" t="str">
        <f t="array" ref="E225">IF(C224&lt;statistics_analysis!$C$14,"low outlier",IF(C224&gt;statistics_analysis!$C$15,"high outlier","normal"))</f>
        <v>normal</v>
      </c>
    </row>
    <row r="226">
      <c r="A226" s="13" t="s">
        <v>229</v>
      </c>
      <c r="B226" s="14">
        <v>6.0</v>
      </c>
      <c r="C226" s="14">
        <v>3.06</v>
      </c>
      <c r="D226" s="14">
        <v>151.1</v>
      </c>
      <c r="E226" s="23" t="str">
        <f t="array" ref="E226">IF(C225&lt;statistics_analysis!$C$14,"low outlier",IF(C225&gt;statistics_analysis!$C$15,"high outlier","normal"))</f>
        <v>normal</v>
      </c>
    </row>
    <row r="227">
      <c r="A227" s="13" t="s">
        <v>230</v>
      </c>
      <c r="B227" s="14">
        <v>4.0</v>
      </c>
      <c r="C227" s="14">
        <v>0.01</v>
      </c>
      <c r="D227" s="14">
        <v>144.6</v>
      </c>
      <c r="E227" s="23" t="str">
        <f t="array" ref="E227">IF(C226&lt;statistics_analysis!$C$14,"low outlier",IF(C226&gt;statistics_analysis!$C$15,"high outlier","normal"))</f>
        <v>normal</v>
      </c>
    </row>
    <row r="228">
      <c r="A228" s="13" t="s">
        <v>231</v>
      </c>
      <c r="B228" s="14">
        <v>6.0</v>
      </c>
      <c r="C228" s="14">
        <v>20.45</v>
      </c>
      <c r="D228" s="14">
        <v>120.0</v>
      </c>
      <c r="E228" s="23" t="str">
        <f t="array" ref="E228">IF(C227&lt;statistics_analysis!$C$14,"low outlier",IF(C227&gt;statistics_analysis!$C$15,"high outlier","normal"))</f>
        <v>normal</v>
      </c>
    </row>
    <row r="229">
      <c r="A229" s="13" t="s">
        <v>232</v>
      </c>
      <c r="B229" s="14">
        <v>8.0</v>
      </c>
      <c r="C229" s="14">
        <v>15.73</v>
      </c>
      <c r="D229" s="14">
        <v>152.5</v>
      </c>
      <c r="E229" s="23" t="str">
        <f t="array" ref="E229">IF(C228&lt;statistics_analysis!$C$14,"low outlier",IF(C228&gt;statistics_analysis!$C$15,"high outlier","normal"))</f>
        <v>normal</v>
      </c>
    </row>
    <row r="230">
      <c r="A230" s="13" t="s">
        <v>233</v>
      </c>
      <c r="B230" s="14">
        <v>7.0</v>
      </c>
      <c r="C230" s="14">
        <v>9.87</v>
      </c>
      <c r="D230" s="14">
        <v>142.4</v>
      </c>
      <c r="E230" s="23" t="str">
        <f t="array" ref="E230">IF(C229&lt;statistics_analysis!$C$14,"low outlier",IF(C229&gt;statistics_analysis!$C$15,"high outlier","normal"))</f>
        <v>normal</v>
      </c>
    </row>
    <row r="231">
      <c r="A231" s="13" t="s">
        <v>234</v>
      </c>
      <c r="B231" s="14">
        <v>5.0</v>
      </c>
      <c r="C231" s="14">
        <v>13.87</v>
      </c>
      <c r="D231" s="14">
        <v>163.2</v>
      </c>
      <c r="E231" s="23" t="str">
        <f t="array" ref="E231">IF(C230&lt;statistics_analysis!$C$14,"low outlier",IF(C230&gt;statistics_analysis!$C$15,"high outlier","normal"))</f>
        <v>normal</v>
      </c>
    </row>
    <row r="232">
      <c r="A232" s="13" t="s">
        <v>235</v>
      </c>
      <c r="B232" s="14">
        <v>2.0</v>
      </c>
      <c r="C232" s="14">
        <v>1.65</v>
      </c>
      <c r="D232" s="14">
        <v>106.2</v>
      </c>
      <c r="E232" s="23" t="str">
        <f t="array" ref="E232">IF(C231&lt;statistics_analysis!$C$14,"low outlier",IF(C231&gt;statistics_analysis!$C$15,"high outlier","normal"))</f>
        <v>normal</v>
      </c>
    </row>
    <row r="233">
      <c r="A233" s="13" t="s">
        <v>236</v>
      </c>
      <c r="B233" s="14">
        <v>1.0</v>
      </c>
      <c r="C233" s="14">
        <v>6.13</v>
      </c>
      <c r="D233" s="14">
        <v>67.9</v>
      </c>
      <c r="E233" s="23" t="str">
        <f t="array" ref="E233">IF(C232&lt;statistics_analysis!$C$14,"low outlier",IF(C232&gt;statistics_analysis!$C$15,"high outlier","normal"))</f>
        <v>normal</v>
      </c>
    </row>
    <row r="234">
      <c r="A234" s="13" t="s">
        <v>237</v>
      </c>
      <c r="B234" s="14">
        <v>7.0</v>
      </c>
      <c r="C234" s="14">
        <v>4.33</v>
      </c>
      <c r="D234" s="14">
        <v>151.4</v>
      </c>
      <c r="E234" s="23" t="str">
        <f t="array" ref="E234">IF(C233&lt;statistics_analysis!$C$14,"low outlier",IF(C233&gt;statistics_analysis!$C$15,"high outlier","normal"))</f>
        <v>normal</v>
      </c>
    </row>
    <row r="235">
      <c r="A235" s="13" t="s">
        <v>238</v>
      </c>
      <c r="B235" s="14">
        <v>4.0</v>
      </c>
      <c r="C235" s="14">
        <v>0.98</v>
      </c>
      <c r="D235" s="14">
        <v>130.5</v>
      </c>
      <c r="E235" s="23" t="str">
        <f t="array" ref="E235">IF(C234&lt;statistics_analysis!$C$14,"low outlier",IF(C234&gt;statistics_analysis!$C$15,"high outlier","normal"))</f>
        <v>normal</v>
      </c>
    </row>
    <row r="236">
      <c r="A236" s="13" t="s">
        <v>239</v>
      </c>
      <c r="B236" s="14">
        <v>1.0</v>
      </c>
      <c r="C236" s="14">
        <v>6.66</v>
      </c>
      <c r="D236" s="14">
        <v>111.1</v>
      </c>
      <c r="E236" s="23" t="str">
        <f t="array" ref="E236">IF(C235&lt;statistics_analysis!$C$14,"low outlier",IF(C235&gt;statistics_analysis!$C$15,"high outlier","normal"))</f>
        <v>normal</v>
      </c>
    </row>
    <row r="237">
      <c r="A237" s="13" t="s">
        <v>240</v>
      </c>
      <c r="B237" s="14">
        <v>6.0</v>
      </c>
      <c r="C237" s="14">
        <v>25.35</v>
      </c>
      <c r="D237" s="14">
        <v>112.8</v>
      </c>
      <c r="E237" s="23" t="str">
        <f t="array" ref="E237">IF(C236&lt;statistics_analysis!$C$14,"low outlier",IF(C236&gt;statistics_analysis!$C$15,"high outlier","normal"))</f>
        <v>normal</v>
      </c>
    </row>
    <row r="238">
      <c r="A238" s="13" t="s">
        <v>241</v>
      </c>
      <c r="B238" s="14">
        <v>5.0</v>
      </c>
      <c r="C238" s="14">
        <v>0.41</v>
      </c>
      <c r="D238" s="14">
        <v>196.6</v>
      </c>
      <c r="E238" s="23" t="str">
        <f t="array" ref="E238">IF(C237&lt;statistics_analysis!$C$14,"low outlier",IF(C237&gt;statistics_analysis!$C$15,"high outlier","normal"))</f>
        <v>normal</v>
      </c>
    </row>
    <row r="239">
      <c r="A239" s="13" t="s">
        <v>242</v>
      </c>
      <c r="B239" s="14">
        <v>8.0</v>
      </c>
      <c r="C239" s="14">
        <v>3.45</v>
      </c>
      <c r="D239" s="14">
        <v>100.7</v>
      </c>
      <c r="E239" s="23" t="str">
        <f t="array" ref="E239">IF(C238&lt;statistics_analysis!$C$14,"low outlier",IF(C238&gt;statistics_analysis!$C$15,"high outlier","normal"))</f>
        <v>normal</v>
      </c>
    </row>
    <row r="240">
      <c r="A240" s="13" t="s">
        <v>243</v>
      </c>
      <c r="B240" s="14">
        <v>5.0</v>
      </c>
      <c r="C240" s="14">
        <v>2.33</v>
      </c>
      <c r="D240" s="14">
        <v>94.4</v>
      </c>
      <c r="E240" s="23" t="str">
        <f t="array" ref="E240">IF(C239&lt;statistics_analysis!$C$14,"low outlier",IF(C239&gt;statistics_analysis!$C$15,"high outlier","normal"))</f>
        <v>normal</v>
      </c>
    </row>
    <row r="241">
      <c r="A241" s="13" t="s">
        <v>244</v>
      </c>
      <c r="B241" s="14">
        <v>4.0</v>
      </c>
      <c r="C241" s="14">
        <v>2.72</v>
      </c>
      <c r="D241" s="14">
        <v>122.6</v>
      </c>
      <c r="E241" s="23" t="str">
        <f t="array" ref="E241">IF(C240&lt;statistics_analysis!$C$14,"low outlier",IF(C240&gt;statistics_analysis!$C$15,"high outlier","normal"))</f>
        <v>normal</v>
      </c>
    </row>
    <row r="242">
      <c r="A242" s="13" t="s">
        <v>245</v>
      </c>
      <c r="B242" s="14">
        <v>10.0</v>
      </c>
      <c r="C242" s="14">
        <v>23.91</v>
      </c>
      <c r="D242" s="14">
        <v>155.4</v>
      </c>
      <c r="E242" s="23" t="str">
        <f t="array" ref="E242">IF(C241&lt;statistics_analysis!$C$14,"low outlier",IF(C241&gt;statistics_analysis!$C$15,"high outlier","normal"))</f>
        <v>normal</v>
      </c>
    </row>
    <row r="243">
      <c r="A243" s="13" t="s">
        <v>246</v>
      </c>
      <c r="B243" s="14">
        <v>7.0</v>
      </c>
      <c r="C243" s="14">
        <v>6.31</v>
      </c>
      <c r="D243" s="14">
        <v>188.4</v>
      </c>
      <c r="E243" s="23" t="str">
        <f t="array" ref="E243">IF(C242&lt;statistics_analysis!$C$14,"low outlier",IF(C242&gt;statistics_analysis!$C$15,"high outlier","normal"))</f>
        <v>normal</v>
      </c>
    </row>
    <row r="244">
      <c r="A244" s="13" t="s">
        <v>247</v>
      </c>
      <c r="B244" s="14">
        <v>4.0</v>
      </c>
      <c r="C244" s="14">
        <v>6.28</v>
      </c>
      <c r="D244" s="14">
        <v>139.7</v>
      </c>
      <c r="E244" s="23" t="str">
        <f t="array" ref="E244">IF(C243&lt;statistics_analysis!$C$14,"low outlier",IF(C243&gt;statistics_analysis!$C$15,"high outlier","normal"))</f>
        <v>normal</v>
      </c>
    </row>
    <row r="245">
      <c r="A245" s="13">
        <v>9.1158499E7</v>
      </c>
      <c r="B245" s="14">
        <v>8.0</v>
      </c>
      <c r="C245" s="14">
        <v>14.3</v>
      </c>
      <c r="D245" s="14">
        <v>81.9</v>
      </c>
      <c r="E245" s="23" t="str">
        <f t="array" ref="E245">IF(C244&lt;statistics_analysis!$C$14,"low outlier",IF(C244&gt;statistics_analysis!$C$15,"high outlier","normal"))</f>
        <v>normal</v>
      </c>
    </row>
    <row r="246">
      <c r="A246" s="13" t="s">
        <v>248</v>
      </c>
      <c r="B246" s="14">
        <v>5.0</v>
      </c>
      <c r="C246" s="14">
        <v>1.68</v>
      </c>
      <c r="D246" s="14">
        <v>179.1</v>
      </c>
      <c r="E246" s="23" t="str">
        <f t="array" ref="E246">IF(C245&lt;statistics_analysis!$C$14,"low outlier",IF(C245&gt;statistics_analysis!$C$15,"high outlier","normal"))</f>
        <v>normal</v>
      </c>
    </row>
    <row r="247">
      <c r="A247" s="13" t="s">
        <v>249</v>
      </c>
      <c r="B247" s="14">
        <v>5.0</v>
      </c>
      <c r="C247" s="14">
        <v>6.68</v>
      </c>
      <c r="D247" s="14">
        <v>119.4</v>
      </c>
      <c r="E247" s="23" t="str">
        <f t="array" ref="E247">IF(C246&lt;statistics_analysis!$C$14,"low outlier",IF(C246&gt;statistics_analysis!$C$15,"high outlier","normal"))</f>
        <v>normal</v>
      </c>
    </row>
    <row r="248">
      <c r="A248" s="13" t="s">
        <v>250</v>
      </c>
      <c r="B248" s="14">
        <v>5.0</v>
      </c>
      <c r="C248" s="14">
        <v>5.62</v>
      </c>
      <c r="D248" s="14">
        <v>94.9</v>
      </c>
      <c r="E248" s="23" t="str">
        <f t="array" ref="E248">IF(C247&lt;statistics_analysis!$C$14,"low outlier",IF(C247&gt;statistics_analysis!$C$15,"high outlier","normal"))</f>
        <v>normal</v>
      </c>
    </row>
    <row r="249">
      <c r="A249" s="13" t="s">
        <v>251</v>
      </c>
      <c r="B249" s="14">
        <v>2.0</v>
      </c>
      <c r="C249" s="14">
        <v>9.09</v>
      </c>
      <c r="D249" s="14">
        <v>87.6</v>
      </c>
      <c r="E249" s="23" t="str">
        <f t="array" ref="E249">IF(C248&lt;statistics_analysis!$C$14,"low outlier",IF(C248&gt;statistics_analysis!$C$15,"high outlier","normal"))</f>
        <v>normal</v>
      </c>
    </row>
    <row r="250">
      <c r="A250" s="13" t="s">
        <v>252</v>
      </c>
      <c r="B250" s="14">
        <v>3.0</v>
      </c>
      <c r="C250" s="14">
        <v>77.24</v>
      </c>
      <c r="D250" s="14">
        <v>145.1</v>
      </c>
      <c r="E250" s="23" t="str">
        <f t="array" ref="E250">IF(C249&lt;statistics_analysis!$C$14,"low outlier",IF(C249&gt;statistics_analysis!$C$15,"high outlier","normal"))</f>
        <v>normal</v>
      </c>
    </row>
    <row r="251">
      <c r="A251" s="13" t="s">
        <v>253</v>
      </c>
      <c r="B251" s="14">
        <v>4.0</v>
      </c>
      <c r="C251" s="14">
        <v>14.67</v>
      </c>
      <c r="D251" s="14">
        <v>127.2</v>
      </c>
      <c r="E251" s="23" t="str">
        <f t="array" ref="E251">IF(C250&lt;statistics_analysis!$C$14,"low outlier",IF(C250&gt;statistics_analysis!$C$15,"high outlier","normal"))</f>
        <v>high outlier</v>
      </c>
    </row>
    <row r="252">
      <c r="A252" s="13" t="s">
        <v>254</v>
      </c>
      <c r="B252" s="14">
        <v>9.0</v>
      </c>
      <c r="C252" s="14">
        <v>5.07</v>
      </c>
      <c r="D252" s="14">
        <v>130.4</v>
      </c>
      <c r="E252" s="23" t="str">
        <f t="array" ref="E252">IF(C251&lt;statistics_analysis!$C$14,"low outlier",IF(C251&gt;statistics_analysis!$C$15,"high outlier","normal"))</f>
        <v>normal</v>
      </c>
    </row>
    <row r="253">
      <c r="A253" s="13" t="s">
        <v>255</v>
      </c>
      <c r="B253" s="14">
        <v>0.0</v>
      </c>
      <c r="C253" s="14">
        <v>17.58</v>
      </c>
      <c r="D253" s="14">
        <v>158.6</v>
      </c>
      <c r="E253" s="23" t="str">
        <f t="array" ref="E253">IF(C252&lt;statistics_analysis!$C$14,"low outlier",IF(C252&gt;statistics_analysis!$C$15,"high outlier","normal"))</f>
        <v>normal</v>
      </c>
    </row>
    <row r="254">
      <c r="A254" s="13">
        <v>4118988.0</v>
      </c>
      <c r="B254" s="14">
        <v>5.0</v>
      </c>
      <c r="C254" s="14">
        <v>1.87</v>
      </c>
      <c r="D254" s="14">
        <v>95.9</v>
      </c>
      <c r="E254" s="23" t="str">
        <f t="array" ref="E254">IF(C253&lt;statistics_analysis!$C$14,"low outlier",IF(C253&gt;statistics_analysis!$C$15,"high outlier","normal"))</f>
        <v>normal</v>
      </c>
    </row>
    <row r="255">
      <c r="A255" s="13" t="s">
        <v>256</v>
      </c>
      <c r="B255" s="14">
        <v>5.0</v>
      </c>
      <c r="C255" s="14">
        <v>0.31</v>
      </c>
      <c r="D255" s="14">
        <v>161.0</v>
      </c>
      <c r="E255" s="23" t="str">
        <f t="array" ref="E255">IF(C254&lt;statistics_analysis!$C$14,"low outlier",IF(C254&gt;statistics_analysis!$C$15,"high outlier","normal"))</f>
        <v>normal</v>
      </c>
    </row>
    <row r="256">
      <c r="A256" s="13" t="s">
        <v>257</v>
      </c>
      <c r="B256" s="14">
        <v>5.0</v>
      </c>
      <c r="C256" s="14">
        <v>2.29</v>
      </c>
      <c r="D256" s="14">
        <v>104.4</v>
      </c>
      <c r="E256" s="23" t="str">
        <f t="array" ref="E256">IF(C255&lt;statistics_analysis!$C$14,"low outlier",IF(C255&gt;statistics_analysis!$C$15,"high outlier","normal"))</f>
        <v>normal</v>
      </c>
    </row>
    <row r="257">
      <c r="A257" s="13" t="s">
        <v>258</v>
      </c>
      <c r="B257" s="14">
        <v>5.0</v>
      </c>
      <c r="C257" s="14">
        <v>4.16</v>
      </c>
      <c r="D257" s="14">
        <v>184.9</v>
      </c>
      <c r="E257" s="23" t="str">
        <f t="array" ref="E257">IF(C256&lt;statistics_analysis!$C$14,"low outlier",IF(C256&gt;statistics_analysis!$C$15,"high outlier","normal"))</f>
        <v>normal</v>
      </c>
    </row>
    <row r="258">
      <c r="A258" s="13" t="s">
        <v>259</v>
      </c>
      <c r="B258" s="14">
        <v>4.0</v>
      </c>
      <c r="C258" s="14">
        <v>7.15</v>
      </c>
      <c r="D258" s="14">
        <v>138.0</v>
      </c>
      <c r="E258" s="23" t="str">
        <f t="array" ref="E258">IF(C257&lt;statistics_analysis!$C$14,"low outlier",IF(C257&gt;statistics_analysis!$C$15,"high outlier","normal"))</f>
        <v>normal</v>
      </c>
    </row>
    <row r="259">
      <c r="A259" s="13" t="s">
        <v>260</v>
      </c>
      <c r="B259" s="14">
        <v>9.0</v>
      </c>
      <c r="C259" s="14">
        <v>9.55</v>
      </c>
      <c r="D259" s="14">
        <v>92.4</v>
      </c>
      <c r="E259" s="23" t="str">
        <f t="array" ref="E259">IF(C258&lt;statistics_analysis!$C$14,"low outlier",IF(C258&gt;statistics_analysis!$C$15,"high outlier","normal"))</f>
        <v>normal</v>
      </c>
    </row>
    <row r="260">
      <c r="A260" s="13" t="s">
        <v>261</v>
      </c>
      <c r="B260" s="14">
        <v>6.0</v>
      </c>
      <c r="C260" s="14">
        <v>24.15</v>
      </c>
      <c r="D260" s="14">
        <v>59.2</v>
      </c>
      <c r="E260" s="23" t="str">
        <f t="array" ref="E260">IF(C259&lt;statistics_analysis!$C$14,"low outlier",IF(C259&gt;statistics_analysis!$C$15,"high outlier","normal"))</f>
        <v>normal</v>
      </c>
    </row>
    <row r="261">
      <c r="A261" s="13" t="s">
        <v>262</v>
      </c>
      <c r="B261" s="14">
        <v>2.0</v>
      </c>
      <c r="C261" s="14">
        <v>7.13</v>
      </c>
      <c r="D261" s="14">
        <v>144.3</v>
      </c>
      <c r="E261" s="23" t="str">
        <f t="array" ref="E261">IF(C260&lt;statistics_analysis!$C$14,"low outlier",IF(C260&gt;statistics_analysis!$C$15,"high outlier","normal"))</f>
        <v>normal</v>
      </c>
    </row>
    <row r="262">
      <c r="A262" s="13" t="s">
        <v>263</v>
      </c>
      <c r="B262" s="14">
        <v>6.0</v>
      </c>
      <c r="C262" s="14">
        <v>6.96</v>
      </c>
      <c r="D262" s="14">
        <v>108.8</v>
      </c>
      <c r="E262" s="23" t="str">
        <f t="array" ref="E262">IF(C261&lt;statistics_analysis!$C$14,"low outlier",IF(C261&gt;statistics_analysis!$C$15,"high outlier","normal"))</f>
        <v>normal</v>
      </c>
    </row>
    <row r="263">
      <c r="A263" s="13" t="s">
        <v>264</v>
      </c>
      <c r="B263" s="14">
        <v>6.0</v>
      </c>
      <c r="C263" s="14">
        <v>0.52</v>
      </c>
      <c r="D263" s="14">
        <v>115.3</v>
      </c>
      <c r="E263" s="23" t="str">
        <f t="array" ref="E263">IF(C262&lt;statistics_analysis!$C$14,"low outlier",IF(C262&gt;statistics_analysis!$C$15,"high outlier","normal"))</f>
        <v>normal</v>
      </c>
    </row>
    <row r="264">
      <c r="A264" s="13" t="s">
        <v>265</v>
      </c>
      <c r="B264" s="14">
        <v>6.0</v>
      </c>
      <c r="C264" s="14">
        <v>0.36</v>
      </c>
      <c r="D264" s="14">
        <v>143.0</v>
      </c>
      <c r="E264" s="23" t="str">
        <f t="array" ref="E264">IF(C263&lt;statistics_analysis!$C$14,"low outlier",IF(C263&gt;statistics_analysis!$C$15,"high outlier","normal"))</f>
        <v>normal</v>
      </c>
    </row>
    <row r="265">
      <c r="A265" s="13" t="s">
        <v>266</v>
      </c>
      <c r="B265" s="14">
        <v>5.0</v>
      </c>
      <c r="C265" s="14">
        <v>8.01</v>
      </c>
      <c r="D265" s="14">
        <v>150.3</v>
      </c>
      <c r="E265" s="23" t="str">
        <f t="array" ref="E265">IF(C264&lt;statistics_analysis!$C$14,"low outlier",IF(C264&gt;statistics_analysis!$C$15,"high outlier","normal"))</f>
        <v>normal</v>
      </c>
    </row>
    <row r="266">
      <c r="A266" s="13" t="s">
        <v>267</v>
      </c>
      <c r="B266" s="14">
        <v>2.0</v>
      </c>
      <c r="C266" s="14">
        <v>5.77</v>
      </c>
      <c r="D266" s="14">
        <v>156.7</v>
      </c>
      <c r="E266" s="23" t="str">
        <f t="array" ref="E266">IF(C265&lt;statistics_analysis!$C$14,"low outlier",IF(C265&gt;statistics_analysis!$C$15,"high outlier","normal"))</f>
        <v>normal</v>
      </c>
    </row>
    <row r="267">
      <c r="A267" s="13" t="s">
        <v>268</v>
      </c>
      <c r="B267" s="14">
        <v>5.0</v>
      </c>
      <c r="C267" s="14">
        <v>18.27</v>
      </c>
      <c r="D267" s="14">
        <v>84.8</v>
      </c>
      <c r="E267" s="23" t="str">
        <f t="array" ref="E267">IF(C266&lt;statistics_analysis!$C$14,"low outlier",IF(C266&gt;statistics_analysis!$C$15,"high outlier","normal"))</f>
        <v>normal</v>
      </c>
    </row>
    <row r="268">
      <c r="A268" s="13" t="s">
        <v>269</v>
      </c>
      <c r="B268" s="14">
        <v>3.0</v>
      </c>
      <c r="C268" s="14">
        <v>1.75</v>
      </c>
      <c r="D268" s="14">
        <v>162.8</v>
      </c>
      <c r="E268" s="23" t="str">
        <f t="array" ref="E268">IF(C267&lt;statistics_analysis!$C$14,"low outlier",IF(C267&gt;statistics_analysis!$C$15,"high outlier","normal"))</f>
        <v>normal</v>
      </c>
    </row>
    <row r="269">
      <c r="A269" s="13" t="s">
        <v>270</v>
      </c>
      <c r="B269" s="14">
        <v>3.0</v>
      </c>
      <c r="C269" s="14">
        <v>0.25</v>
      </c>
      <c r="D269" s="14">
        <v>102.6</v>
      </c>
      <c r="E269" s="23" t="str">
        <f t="array" ref="E269">IF(C268&lt;statistics_analysis!$C$14,"low outlier",IF(C268&gt;statistics_analysis!$C$15,"high outlier","normal"))</f>
        <v>normal</v>
      </c>
    </row>
    <row r="270">
      <c r="A270" s="13" t="s">
        <v>271</v>
      </c>
      <c r="B270" s="14">
        <v>3.0</v>
      </c>
      <c r="C270" s="14">
        <v>5.96</v>
      </c>
      <c r="D270" s="14">
        <v>52.3</v>
      </c>
      <c r="E270" s="23" t="str">
        <f t="array" ref="E270">IF(C269&lt;statistics_analysis!$C$14,"low outlier",IF(C269&gt;statistics_analysis!$C$15,"high outlier","normal"))</f>
        <v>normal</v>
      </c>
    </row>
    <row r="271">
      <c r="A271" s="13" t="s">
        <v>272</v>
      </c>
      <c r="B271" s="14">
        <v>6.0</v>
      </c>
      <c r="C271" s="14">
        <v>2.71</v>
      </c>
      <c r="D271" s="14">
        <v>84.6</v>
      </c>
      <c r="E271" s="23" t="str">
        <f t="array" ref="E271">IF(C270&lt;statistics_analysis!$C$14,"low outlier",IF(C270&gt;statistics_analysis!$C$15,"high outlier","normal"))</f>
        <v>normal</v>
      </c>
    </row>
    <row r="272">
      <c r="A272" s="13" t="s">
        <v>273</v>
      </c>
      <c r="B272" s="14">
        <v>6.0</v>
      </c>
      <c r="C272" s="14">
        <v>0.51</v>
      </c>
      <c r="D272" s="14">
        <v>126.5</v>
      </c>
      <c r="E272" s="23" t="str">
        <f t="array" ref="E272">IF(C271&lt;statistics_analysis!$C$14,"low outlier",IF(C271&gt;statistics_analysis!$C$15,"high outlier","normal"))</f>
        <v>normal</v>
      </c>
    </row>
    <row r="273">
      <c r="A273" s="13" t="s">
        <v>274</v>
      </c>
      <c r="B273" s="14">
        <v>4.0</v>
      </c>
      <c r="C273" s="14">
        <v>12.9</v>
      </c>
      <c r="D273" s="14">
        <v>90.6</v>
      </c>
      <c r="E273" s="23" t="str">
        <f t="array" ref="E273">IF(C272&lt;statistics_analysis!$C$14,"low outlier",IF(C272&gt;statistics_analysis!$C$15,"high outlier","normal"))</f>
        <v>normal</v>
      </c>
    </row>
    <row r="274">
      <c r="A274" s="13" t="s">
        <v>275</v>
      </c>
      <c r="B274" s="14">
        <v>5.0</v>
      </c>
      <c r="C274" s="14">
        <v>1.18</v>
      </c>
      <c r="D274" s="14">
        <v>117.4</v>
      </c>
      <c r="E274" s="23" t="str">
        <f t="array" ref="E274">IF(C273&lt;statistics_analysis!$C$14,"low outlier",IF(C273&gt;statistics_analysis!$C$15,"high outlier","normal"))</f>
        <v>normal</v>
      </c>
    </row>
    <row r="275">
      <c r="A275" s="13" t="s">
        <v>276</v>
      </c>
      <c r="B275" s="14">
        <v>5.0</v>
      </c>
      <c r="C275" s="14">
        <v>9.37</v>
      </c>
      <c r="D275" s="14">
        <v>130.1</v>
      </c>
      <c r="E275" s="23" t="str">
        <f t="array" ref="E275">IF(C274&lt;statistics_analysis!$C$14,"low outlier",IF(C274&gt;statistics_analysis!$C$15,"high outlier","normal"))</f>
        <v>normal</v>
      </c>
    </row>
    <row r="276">
      <c r="A276" s="13" t="s">
        <v>277</v>
      </c>
      <c r="B276" s="14">
        <v>7.0</v>
      </c>
      <c r="C276" s="14">
        <v>3.3</v>
      </c>
      <c r="D276" s="14">
        <v>114.6</v>
      </c>
      <c r="E276" s="23" t="str">
        <f t="array" ref="E276">IF(C275&lt;statistics_analysis!$C$14,"low outlier",IF(C275&gt;statistics_analysis!$C$15,"high outlier","normal"))</f>
        <v>normal</v>
      </c>
    </row>
    <row r="277">
      <c r="A277" s="13" t="s">
        <v>278</v>
      </c>
      <c r="B277" s="14">
        <v>5.0</v>
      </c>
      <c r="C277" s="14">
        <v>1.91</v>
      </c>
      <c r="D277" s="14">
        <v>105.2</v>
      </c>
      <c r="E277" s="23" t="str">
        <f t="array" ref="E277">IF(C276&lt;statistics_analysis!$C$14,"low outlier",IF(C276&gt;statistics_analysis!$C$15,"high outlier","normal"))</f>
        <v>normal</v>
      </c>
    </row>
    <row r="278">
      <c r="A278" s="13">
        <v>5.280363E7</v>
      </c>
      <c r="B278" s="14">
        <v>3.0</v>
      </c>
      <c r="C278" s="14">
        <v>4.78</v>
      </c>
      <c r="D278" s="14">
        <v>82.5</v>
      </c>
      <c r="E278" s="23" t="str">
        <f t="array" ref="E278">IF(C277&lt;statistics_analysis!$C$14,"low outlier",IF(C277&gt;statistics_analysis!$C$15,"high outlier","normal"))</f>
        <v>normal</v>
      </c>
    </row>
    <row r="279">
      <c r="A279" s="13" t="s">
        <v>279</v>
      </c>
      <c r="B279" s="14">
        <v>4.0</v>
      </c>
      <c r="C279" s="14">
        <v>16.17</v>
      </c>
      <c r="D279" s="14">
        <v>120.7</v>
      </c>
      <c r="E279" s="23" t="str">
        <f t="array" ref="E279">IF(C278&lt;statistics_analysis!$C$14,"low outlier",IF(C278&gt;statistics_analysis!$C$15,"high outlier","normal"))</f>
        <v>normal</v>
      </c>
    </row>
    <row r="280">
      <c r="A280" s="13" t="s">
        <v>280</v>
      </c>
      <c r="B280" s="14">
        <v>7.0</v>
      </c>
      <c r="C280" s="14">
        <v>4.98</v>
      </c>
      <c r="D280" s="14">
        <v>58.1</v>
      </c>
      <c r="E280" s="23" t="str">
        <f t="array" ref="E280">IF(C279&lt;statistics_analysis!$C$14,"low outlier",IF(C279&gt;statistics_analysis!$C$15,"high outlier","normal"))</f>
        <v>normal</v>
      </c>
    </row>
    <row r="281">
      <c r="A281" s="13" t="s">
        <v>281</v>
      </c>
      <c r="B281" s="14">
        <v>5.0</v>
      </c>
      <c r="C281" s="14">
        <v>13.89</v>
      </c>
      <c r="D281" s="14">
        <v>99.4</v>
      </c>
      <c r="E281" s="23" t="str">
        <f t="array" ref="E281">IF(C280&lt;statistics_analysis!$C$14,"low outlier",IF(C280&gt;statistics_analysis!$C$15,"high outlier","normal"))</f>
        <v>normal</v>
      </c>
    </row>
    <row r="282">
      <c r="A282" s="13" t="s">
        <v>282</v>
      </c>
      <c r="B282" s="14">
        <v>7.0</v>
      </c>
      <c r="C282" s="14">
        <v>1.34</v>
      </c>
      <c r="D282" s="14">
        <v>92.2</v>
      </c>
      <c r="E282" s="23" t="str">
        <f t="array" ref="E282">IF(C281&lt;statistics_analysis!$C$14,"low outlier",IF(C281&gt;statistics_analysis!$C$15,"high outlier","normal"))</f>
        <v>normal</v>
      </c>
    </row>
    <row r="283">
      <c r="A283" s="13" t="s">
        <v>283</v>
      </c>
      <c r="B283" s="14">
        <v>8.0</v>
      </c>
      <c r="C283" s="14">
        <v>14.82</v>
      </c>
      <c r="D283" s="14">
        <v>112.8</v>
      </c>
      <c r="E283" s="23" t="str">
        <f t="array" ref="E283">IF(C282&lt;statistics_analysis!$C$14,"low outlier",IF(C282&gt;statistics_analysis!$C$15,"high outlier","normal"))</f>
        <v>normal</v>
      </c>
    </row>
    <row r="284">
      <c r="A284" s="13" t="s">
        <v>284</v>
      </c>
      <c r="B284" s="14">
        <v>7.0</v>
      </c>
      <c r="C284" s="14">
        <v>2.7</v>
      </c>
      <c r="D284" s="14">
        <v>113.6</v>
      </c>
      <c r="E284" s="23" t="str">
        <f t="array" ref="E284">IF(C283&lt;statistics_analysis!$C$14,"low outlier",IF(C283&gt;statistics_analysis!$C$15,"high outlier","normal"))</f>
        <v>normal</v>
      </c>
    </row>
    <row r="285">
      <c r="A285" s="13">
        <v>1.9291167E7</v>
      </c>
      <c r="B285" s="14">
        <v>5.0</v>
      </c>
      <c r="C285" s="14">
        <v>11.31</v>
      </c>
      <c r="D285" s="14">
        <v>148.8</v>
      </c>
      <c r="E285" s="23" t="str">
        <f t="array" ref="E285">IF(C284&lt;statistics_analysis!$C$14,"low outlier",IF(C284&gt;statistics_analysis!$C$15,"high outlier","normal"))</f>
        <v>normal</v>
      </c>
    </row>
    <row r="286">
      <c r="A286" s="13" t="s">
        <v>285</v>
      </c>
      <c r="B286" s="14">
        <v>8.0</v>
      </c>
      <c r="C286" s="14">
        <v>8.34</v>
      </c>
      <c r="D286" s="14">
        <v>167.5</v>
      </c>
      <c r="E286" s="23" t="str">
        <f t="array" ref="E286">IF(C285&lt;statistics_analysis!$C$14,"low outlier",IF(C285&gt;statistics_analysis!$C$15,"high outlier","normal"))</f>
        <v>normal</v>
      </c>
    </row>
    <row r="287">
      <c r="A287" s="13" t="s">
        <v>286</v>
      </c>
      <c r="B287" s="14">
        <v>4.0</v>
      </c>
      <c r="C287" s="14">
        <v>26.47</v>
      </c>
      <c r="D287" s="14">
        <v>86.5</v>
      </c>
      <c r="E287" s="23" t="str">
        <f t="array" ref="E287">IF(C286&lt;statistics_analysis!$C$14,"low outlier",IF(C286&gt;statistics_analysis!$C$15,"high outlier","normal"))</f>
        <v>normal</v>
      </c>
    </row>
    <row r="288">
      <c r="A288" s="13" t="s">
        <v>287</v>
      </c>
      <c r="B288" s="14">
        <v>6.0</v>
      </c>
      <c r="C288" s="14">
        <v>4.9</v>
      </c>
      <c r="D288" s="14">
        <v>179.8</v>
      </c>
      <c r="E288" s="23" t="str">
        <f t="array" ref="E288">IF(C287&lt;statistics_analysis!$C$14,"low outlier",IF(C287&gt;statistics_analysis!$C$15,"high outlier","normal"))</f>
        <v>normal</v>
      </c>
    </row>
    <row r="289">
      <c r="A289" s="13" t="s">
        <v>288</v>
      </c>
      <c r="B289" s="14">
        <v>8.0</v>
      </c>
      <c r="C289" s="14">
        <v>0.68</v>
      </c>
      <c r="D289" s="14">
        <v>96.6</v>
      </c>
      <c r="E289" s="23" t="str">
        <f t="array" ref="E289">IF(C288&lt;statistics_analysis!$C$14,"low outlier",IF(C288&gt;statistics_analysis!$C$15,"high outlier","normal"))</f>
        <v>normal</v>
      </c>
    </row>
    <row r="290">
      <c r="A290" s="13" t="s">
        <v>289</v>
      </c>
      <c r="B290" s="14">
        <v>6.0</v>
      </c>
      <c r="C290" s="14">
        <v>0.19</v>
      </c>
      <c r="D290" s="14">
        <v>125.2</v>
      </c>
      <c r="E290" s="23" t="str">
        <f t="array" ref="E290">IF(C289&lt;statistics_analysis!$C$14,"low outlier",IF(C289&gt;statistics_analysis!$C$15,"high outlier","normal"))</f>
        <v>normal</v>
      </c>
    </row>
    <row r="291">
      <c r="A291" s="13" t="s">
        <v>290</v>
      </c>
      <c r="B291" s="14">
        <v>3.0</v>
      </c>
      <c r="C291" s="14">
        <v>17.54</v>
      </c>
      <c r="D291" s="14">
        <v>135.3</v>
      </c>
      <c r="E291" s="23" t="str">
        <f t="array" ref="E291">IF(C290&lt;statistics_analysis!$C$14,"low outlier",IF(C290&gt;statistics_analysis!$C$15,"high outlier","normal"))</f>
        <v>normal</v>
      </c>
    </row>
    <row r="292">
      <c r="A292" s="13" t="s">
        <v>291</v>
      </c>
      <c r="B292" s="14">
        <v>8.0</v>
      </c>
      <c r="C292" s="14">
        <v>7.44</v>
      </c>
      <c r="D292" s="14">
        <v>193.3</v>
      </c>
      <c r="E292" s="23" t="str">
        <f t="array" ref="E292">IF(C291&lt;statistics_analysis!$C$14,"low outlier",IF(C291&gt;statistics_analysis!$C$15,"high outlier","normal"))</f>
        <v>normal</v>
      </c>
    </row>
    <row r="293">
      <c r="A293" s="13" t="s">
        <v>292</v>
      </c>
      <c r="B293" s="14">
        <v>4.0</v>
      </c>
      <c r="C293" s="14">
        <v>14.93</v>
      </c>
      <c r="D293" s="14">
        <v>103.7</v>
      </c>
      <c r="E293" s="23" t="str">
        <f t="array" ref="E293">IF(C292&lt;statistics_analysis!$C$14,"low outlier",IF(C292&gt;statistics_analysis!$C$15,"high outlier","normal"))</f>
        <v>normal</v>
      </c>
    </row>
    <row r="294">
      <c r="A294" s="13" t="s">
        <v>293</v>
      </c>
      <c r="B294" s="14">
        <v>7.0</v>
      </c>
      <c r="C294" s="14">
        <v>2.67</v>
      </c>
      <c r="D294" s="14">
        <v>66.1</v>
      </c>
      <c r="E294" s="23" t="str">
        <f t="array" ref="E294">IF(C293&lt;statistics_analysis!$C$14,"low outlier",IF(C293&gt;statistics_analysis!$C$15,"high outlier","normal"))</f>
        <v>normal</v>
      </c>
    </row>
    <row r="295">
      <c r="A295" s="13" t="s">
        <v>294</v>
      </c>
      <c r="B295" s="14">
        <v>2.0</v>
      </c>
      <c r="C295" s="14">
        <v>4.23</v>
      </c>
      <c r="D295" s="14">
        <v>164.7</v>
      </c>
      <c r="E295" s="23" t="str">
        <f t="array" ref="E295">IF(C294&lt;statistics_analysis!$C$14,"low outlier",IF(C294&gt;statistics_analysis!$C$15,"high outlier","normal"))</f>
        <v>normal</v>
      </c>
    </row>
    <row r="296">
      <c r="A296" s="13" t="s">
        <v>295</v>
      </c>
      <c r="B296" s="14">
        <v>10.0</v>
      </c>
      <c r="C296" s="14">
        <v>0.31</v>
      </c>
      <c r="D296" s="14">
        <v>95.0</v>
      </c>
      <c r="E296" s="23" t="str">
        <f t="array" ref="E296">IF(C295&lt;statistics_analysis!$C$14,"low outlier",IF(C295&gt;statistics_analysis!$C$15,"high outlier","normal"))</f>
        <v>normal</v>
      </c>
    </row>
    <row r="297">
      <c r="A297" s="13" t="s">
        <v>296</v>
      </c>
      <c r="B297" s="14">
        <v>6.0</v>
      </c>
      <c r="C297" s="14">
        <v>32.57</v>
      </c>
      <c r="D297" s="14">
        <v>109.2</v>
      </c>
      <c r="E297" s="23" t="str">
        <f t="array" ref="E297">IF(C296&lt;statistics_analysis!$C$14,"low outlier",IF(C296&gt;statistics_analysis!$C$15,"high outlier","normal"))</f>
        <v>normal</v>
      </c>
    </row>
    <row r="298">
      <c r="A298" s="13" t="s">
        <v>297</v>
      </c>
      <c r="B298" s="14">
        <v>4.0</v>
      </c>
      <c r="C298" s="14">
        <v>11.02</v>
      </c>
      <c r="D298" s="14">
        <v>86.5</v>
      </c>
      <c r="E298" s="23" t="str">
        <f t="array" ref="E298">IF(C297&lt;statistics_analysis!$C$14,"low outlier",IF(C297&gt;statistics_analysis!$C$15,"high outlier","normal"))</f>
        <v>high outlier</v>
      </c>
    </row>
    <row r="299">
      <c r="A299" s="13" t="s">
        <v>298</v>
      </c>
      <c r="B299" s="14">
        <v>5.0</v>
      </c>
      <c r="C299" s="14">
        <v>27.06</v>
      </c>
      <c r="D299" s="14">
        <v>109.2</v>
      </c>
      <c r="E299" s="23" t="str">
        <f t="array" ref="E299">IF(C298&lt;statistics_analysis!$C$14,"low outlier",IF(C298&gt;statistics_analysis!$C$15,"high outlier","normal"))</f>
        <v>normal</v>
      </c>
    </row>
    <row r="300">
      <c r="A300" s="13" t="s">
        <v>299</v>
      </c>
      <c r="B300" s="14">
        <v>6.0</v>
      </c>
      <c r="C300" s="14">
        <v>3.09</v>
      </c>
      <c r="D300" s="14">
        <v>94.8</v>
      </c>
      <c r="E300" s="23" t="str">
        <f t="array" ref="E300">IF(C299&lt;statistics_analysis!$C$14,"low outlier",IF(C299&gt;statistics_analysis!$C$15,"high outlier","normal"))</f>
        <v>normal</v>
      </c>
    </row>
    <row r="301">
      <c r="A301" s="13" t="s">
        <v>300</v>
      </c>
      <c r="B301" s="14">
        <v>4.0</v>
      </c>
      <c r="C301" s="14">
        <v>9.45</v>
      </c>
      <c r="D301" s="14">
        <v>140.3</v>
      </c>
      <c r="E301" s="23" t="str">
        <f t="array" ref="E301">IF(C300&lt;statistics_analysis!$C$14,"low outlier",IF(C300&gt;statistics_analysis!$C$15,"high outlier","normal"))</f>
        <v>normal</v>
      </c>
    </row>
    <row r="302">
      <c r="A302" s="13" t="s">
        <v>301</v>
      </c>
      <c r="B302" s="14">
        <v>5.0</v>
      </c>
      <c r="C302" s="14">
        <v>11.35</v>
      </c>
      <c r="D302" s="14">
        <v>122.4</v>
      </c>
      <c r="E302" s="23" t="str">
        <f t="array" ref="E302">IF(C301&lt;statistics_analysis!$C$14,"low outlier",IF(C301&gt;statistics_analysis!$C$15,"high outlier","normal"))</f>
        <v>normal</v>
      </c>
    </row>
    <row r="303">
      <c r="A303" s="13" t="s">
        <v>302</v>
      </c>
      <c r="B303" s="14">
        <v>6.0</v>
      </c>
      <c r="C303" s="14">
        <v>3.82</v>
      </c>
      <c r="D303" s="14">
        <v>99.6</v>
      </c>
      <c r="E303" s="23" t="str">
        <f t="array" ref="E303">IF(C302&lt;statistics_analysis!$C$14,"low outlier",IF(C302&gt;statistics_analysis!$C$15,"high outlier","normal"))</f>
        <v>normal</v>
      </c>
    </row>
    <row r="304">
      <c r="A304" s="13" t="s">
        <v>303</v>
      </c>
      <c r="B304" s="14">
        <v>3.0</v>
      </c>
      <c r="C304" s="14">
        <v>18.85</v>
      </c>
      <c r="D304" s="14">
        <v>149.9</v>
      </c>
      <c r="E304" s="23" t="str">
        <f t="array" ref="E304">IF(C303&lt;statistics_analysis!$C$14,"low outlier",IF(C303&gt;statistics_analysis!$C$15,"high outlier","normal"))</f>
        <v>normal</v>
      </c>
    </row>
    <row r="305">
      <c r="A305" s="13" t="s">
        <v>304</v>
      </c>
      <c r="B305" s="14">
        <v>7.0</v>
      </c>
      <c r="C305" s="14">
        <v>29.41</v>
      </c>
      <c r="D305" s="14">
        <v>127.6</v>
      </c>
      <c r="E305" s="23" t="str">
        <f t="array" ref="E305">IF(C304&lt;statistics_analysis!$C$14,"low outlier",IF(C304&gt;statistics_analysis!$C$15,"high outlier","normal"))</f>
        <v>normal</v>
      </c>
    </row>
    <row r="306">
      <c r="A306" s="13" t="s">
        <v>305</v>
      </c>
      <c r="B306" s="14">
        <v>7.0</v>
      </c>
      <c r="C306" s="14">
        <v>21.62</v>
      </c>
      <c r="D306" s="14">
        <v>64.6</v>
      </c>
      <c r="E306" s="23" t="str">
        <f t="array" ref="E306">IF(C305&lt;statistics_analysis!$C$14,"low outlier",IF(C305&gt;statistics_analysis!$C$15,"high outlier","normal"))</f>
        <v>normal</v>
      </c>
    </row>
    <row r="307">
      <c r="A307" s="13" t="s">
        <v>306</v>
      </c>
      <c r="B307" s="14">
        <v>8.0</v>
      </c>
      <c r="C307" s="14">
        <v>13.43</v>
      </c>
      <c r="D307" s="14">
        <v>147.6</v>
      </c>
      <c r="E307" s="23" t="str">
        <f t="array" ref="E307">IF(C306&lt;statistics_analysis!$C$14,"low outlier",IF(C306&gt;statistics_analysis!$C$15,"high outlier","normal"))</f>
        <v>normal</v>
      </c>
    </row>
    <row r="308">
      <c r="A308" s="13" t="s">
        <v>307</v>
      </c>
      <c r="B308" s="14">
        <v>4.0</v>
      </c>
      <c r="C308" s="14">
        <v>3.25</v>
      </c>
      <c r="D308" s="14">
        <v>125.5</v>
      </c>
      <c r="E308" s="23" t="str">
        <f t="array" ref="E308">IF(C307&lt;statistics_analysis!$C$14,"low outlier",IF(C307&gt;statistics_analysis!$C$15,"high outlier","normal"))</f>
        <v>normal</v>
      </c>
    </row>
    <row r="309">
      <c r="A309" s="13" t="s">
        <v>308</v>
      </c>
      <c r="B309" s="14">
        <v>7.0</v>
      </c>
      <c r="C309" s="14">
        <v>3.31</v>
      </c>
      <c r="D309" s="14">
        <v>161.7</v>
      </c>
      <c r="E309" s="23" t="str">
        <f t="array" ref="E309">IF(C308&lt;statistics_analysis!$C$14,"low outlier",IF(C308&gt;statistics_analysis!$C$15,"high outlier","normal"))</f>
        <v>normal</v>
      </c>
    </row>
    <row r="310">
      <c r="A310" s="13" t="s">
        <v>309</v>
      </c>
      <c r="B310" s="14">
        <v>3.0</v>
      </c>
      <c r="C310" s="14">
        <v>33.07</v>
      </c>
      <c r="D310" s="14">
        <v>123.7</v>
      </c>
      <c r="E310" s="23" t="str">
        <f t="array" ref="E310">IF(C309&lt;statistics_analysis!$C$14,"low outlier",IF(C309&gt;statistics_analysis!$C$15,"high outlier","normal"))</f>
        <v>normal</v>
      </c>
    </row>
    <row r="311">
      <c r="A311" s="13" t="s">
        <v>310</v>
      </c>
      <c r="B311" s="14">
        <v>4.0</v>
      </c>
      <c r="C311" s="14">
        <v>0.1</v>
      </c>
      <c r="D311" s="14">
        <v>96.2</v>
      </c>
      <c r="E311" s="23" t="str">
        <f t="array" ref="E311">IF(C310&lt;statistics_analysis!$C$14,"low outlier",IF(C310&gt;statistics_analysis!$C$15,"high outlier","normal"))</f>
        <v>high outlier</v>
      </c>
    </row>
    <row r="312">
      <c r="A312" s="13" t="s">
        <v>311</v>
      </c>
      <c r="B312" s="14">
        <v>4.0</v>
      </c>
      <c r="C312" s="14">
        <v>12.59</v>
      </c>
      <c r="D312" s="14">
        <v>113.9</v>
      </c>
      <c r="E312" s="23" t="str">
        <f t="array" ref="E312">IF(C311&lt;statistics_analysis!$C$14,"low outlier",IF(C311&gt;statistics_analysis!$C$15,"high outlier","normal"))</f>
        <v>normal</v>
      </c>
    </row>
    <row r="313">
      <c r="A313" s="13" t="s">
        <v>312</v>
      </c>
      <c r="B313" s="14">
        <v>0.0</v>
      </c>
      <c r="C313" s="14">
        <v>12.25</v>
      </c>
      <c r="D313" s="14">
        <v>144.1</v>
      </c>
      <c r="E313" s="23" t="str">
        <f t="array" ref="E313">IF(C312&lt;statistics_analysis!$C$14,"low outlier",IF(C312&gt;statistics_analysis!$C$15,"high outlier","normal"))</f>
        <v>normal</v>
      </c>
    </row>
    <row r="314">
      <c r="A314" s="13" t="s">
        <v>313</v>
      </c>
      <c r="B314" s="14">
        <v>1.0</v>
      </c>
      <c r="C314" s="14">
        <v>9.75</v>
      </c>
      <c r="D314" s="14">
        <v>96.9</v>
      </c>
      <c r="E314" s="23" t="str">
        <f t="array" ref="E314">IF(C313&lt;statistics_analysis!$C$14,"low outlier",IF(C313&gt;statistics_analysis!$C$15,"high outlier","normal"))</f>
        <v>normal</v>
      </c>
    </row>
    <row r="315">
      <c r="A315" s="13" t="s">
        <v>314</v>
      </c>
      <c r="B315" s="14">
        <v>1.0</v>
      </c>
      <c r="C315" s="14">
        <v>46.16</v>
      </c>
      <c r="D315" s="14">
        <v>106.8</v>
      </c>
      <c r="E315" s="23" t="str">
        <f t="array" ref="E315">IF(C314&lt;statistics_analysis!$C$14,"low outlier",IF(C314&gt;statistics_analysis!$C$15,"high outlier","normal"))</f>
        <v>normal</v>
      </c>
    </row>
    <row r="316">
      <c r="A316" s="13" t="s">
        <v>315</v>
      </c>
      <c r="B316" s="14">
        <v>7.0</v>
      </c>
      <c r="C316" s="14">
        <v>3.74</v>
      </c>
      <c r="D316" s="14">
        <v>113.3</v>
      </c>
      <c r="E316" s="23" t="str">
        <f t="array" ref="E316">IF(C315&lt;statistics_analysis!$C$14,"low outlier",IF(C315&gt;statistics_analysis!$C$15,"high outlier","normal"))</f>
        <v>high outlier</v>
      </c>
    </row>
    <row r="317">
      <c r="A317" s="13" t="s">
        <v>316</v>
      </c>
      <c r="B317" s="14">
        <v>5.0</v>
      </c>
      <c r="C317" s="14">
        <v>4.15</v>
      </c>
      <c r="D317" s="14">
        <v>85.5</v>
      </c>
      <c r="E317" s="23" t="str">
        <f t="array" ref="E317">IF(C316&lt;statistics_analysis!$C$14,"low outlier",IF(C316&gt;statistics_analysis!$C$15,"high outlier","normal"))</f>
        <v>normal</v>
      </c>
    </row>
    <row r="318">
      <c r="A318" s="13">
        <v>4.1859815E7</v>
      </c>
      <c r="B318" s="14">
        <v>5.0</v>
      </c>
      <c r="C318" s="14">
        <v>0.82</v>
      </c>
      <c r="D318" s="14">
        <v>97.3</v>
      </c>
      <c r="E318" s="23" t="str">
        <f t="array" ref="E318">IF(C317&lt;statistics_analysis!$C$14,"low outlier",IF(C317&gt;statistics_analysis!$C$15,"high outlier","normal"))</f>
        <v>normal</v>
      </c>
    </row>
    <row r="319">
      <c r="A319" s="13" t="s">
        <v>317</v>
      </c>
      <c r="B319" s="14">
        <v>8.0</v>
      </c>
      <c r="C319" s="14">
        <v>5.85</v>
      </c>
      <c r="D319" s="14">
        <v>125.2</v>
      </c>
      <c r="E319" s="23" t="str">
        <f t="array" ref="E319">IF(C318&lt;statistics_analysis!$C$14,"low outlier",IF(C318&gt;statistics_analysis!$C$15,"high outlier","normal"))</f>
        <v>normal</v>
      </c>
    </row>
    <row r="320">
      <c r="A320" s="13" t="s">
        <v>318</v>
      </c>
      <c r="B320" s="14">
        <v>3.0</v>
      </c>
      <c r="C320" s="14">
        <v>3.03</v>
      </c>
      <c r="D320" s="14">
        <v>156.1</v>
      </c>
      <c r="E320" s="23" t="str">
        <f t="array" ref="E320">IF(C319&lt;statistics_analysis!$C$14,"low outlier",IF(C319&gt;statistics_analysis!$C$15,"high outlier","normal"))</f>
        <v>normal</v>
      </c>
    </row>
    <row r="321">
      <c r="A321" s="13" t="s">
        <v>319</v>
      </c>
      <c r="B321" s="14">
        <v>5.0</v>
      </c>
      <c r="C321" s="14">
        <v>4.21</v>
      </c>
      <c r="D321" s="14">
        <v>129.5</v>
      </c>
      <c r="E321" s="23" t="str">
        <f t="array" ref="E321">IF(C320&lt;statistics_analysis!$C$14,"low outlier",IF(C320&gt;statistics_analysis!$C$15,"high outlier","normal"))</f>
        <v>normal</v>
      </c>
    </row>
    <row r="322">
      <c r="A322" s="13" t="s">
        <v>320</v>
      </c>
      <c r="B322" s="14">
        <v>3.0</v>
      </c>
      <c r="C322" s="14">
        <v>17.99</v>
      </c>
      <c r="D322" s="14">
        <v>118.6</v>
      </c>
      <c r="E322" s="23" t="str">
        <f t="array" ref="E322">IF(C321&lt;statistics_analysis!$C$14,"low outlier",IF(C321&gt;statistics_analysis!$C$15,"high outlier","normal"))</f>
        <v>normal</v>
      </c>
    </row>
    <row r="323">
      <c r="A323" s="13" t="s">
        <v>321</v>
      </c>
      <c r="B323" s="14">
        <v>5.0</v>
      </c>
      <c r="C323" s="14">
        <v>27.41</v>
      </c>
      <c r="D323" s="14">
        <v>95.1</v>
      </c>
      <c r="E323" s="23" t="str">
        <f t="array" ref="E323">IF(C322&lt;statistics_analysis!$C$14,"low outlier",IF(C322&gt;statistics_analysis!$C$15,"high outlier","normal"))</f>
        <v>normal</v>
      </c>
    </row>
    <row r="324">
      <c r="A324" s="13" t="s">
        <v>322</v>
      </c>
      <c r="B324" s="14">
        <v>1.0</v>
      </c>
      <c r="C324" s="14">
        <v>2.05</v>
      </c>
      <c r="D324" s="14">
        <v>152.9</v>
      </c>
      <c r="E324" s="23" t="str">
        <f t="array" ref="E324">IF(C323&lt;statistics_analysis!$C$14,"low outlier",IF(C323&gt;statistics_analysis!$C$15,"high outlier","normal"))</f>
        <v>normal</v>
      </c>
    </row>
    <row r="325">
      <c r="A325" s="13" t="s">
        <v>323</v>
      </c>
      <c r="B325" s="14">
        <v>7.0</v>
      </c>
      <c r="C325" s="14">
        <v>4.66</v>
      </c>
      <c r="D325" s="14">
        <v>133.0</v>
      </c>
      <c r="E325" s="23" t="str">
        <f t="array" ref="E325">IF(C324&lt;statistics_analysis!$C$14,"low outlier",IF(C324&gt;statistics_analysis!$C$15,"high outlier","normal"))</f>
        <v>normal</v>
      </c>
    </row>
    <row r="326">
      <c r="A326" s="13" t="s">
        <v>324</v>
      </c>
      <c r="B326" s="14">
        <v>2.0</v>
      </c>
      <c r="C326" s="14">
        <v>26.4</v>
      </c>
      <c r="D326" s="14">
        <v>98.8</v>
      </c>
      <c r="E326" s="23" t="str">
        <f t="array" ref="E326">IF(C325&lt;statistics_analysis!$C$14,"low outlier",IF(C325&gt;statistics_analysis!$C$15,"high outlier","normal"))</f>
        <v>normal</v>
      </c>
    </row>
    <row r="327">
      <c r="A327" s="13" t="s">
        <v>325</v>
      </c>
      <c r="B327" s="14">
        <v>4.0</v>
      </c>
      <c r="C327" s="14">
        <v>0.64</v>
      </c>
      <c r="D327" s="14">
        <v>147.0</v>
      </c>
      <c r="E327" s="23" t="str">
        <f t="array" ref="E327">IF(C326&lt;statistics_analysis!$C$14,"low outlier",IF(C326&gt;statistics_analysis!$C$15,"high outlier","normal"))</f>
        <v>normal</v>
      </c>
    </row>
    <row r="328">
      <c r="A328" s="13" t="s">
        <v>326</v>
      </c>
      <c r="B328" s="14">
        <v>6.0</v>
      </c>
      <c r="C328" s="14">
        <v>0.97</v>
      </c>
      <c r="D328" s="14">
        <v>136.8</v>
      </c>
      <c r="E328" s="23" t="str">
        <f t="array" ref="E328">IF(C327&lt;statistics_analysis!$C$14,"low outlier",IF(C327&gt;statistics_analysis!$C$15,"high outlier","normal"))</f>
        <v>normal</v>
      </c>
    </row>
    <row r="329">
      <c r="A329" s="13" t="s">
        <v>327</v>
      </c>
      <c r="B329" s="14">
        <v>7.0</v>
      </c>
      <c r="C329" s="14">
        <v>1.78</v>
      </c>
      <c r="D329" s="14">
        <v>95.6</v>
      </c>
      <c r="E329" s="23" t="str">
        <f t="array" ref="E329">IF(C328&lt;statistics_analysis!$C$14,"low outlier",IF(C328&gt;statistics_analysis!$C$15,"high outlier","normal"))</f>
        <v>normal</v>
      </c>
    </row>
    <row r="330">
      <c r="A330" s="13" t="s">
        <v>328</v>
      </c>
      <c r="B330" s="14">
        <v>9.0</v>
      </c>
      <c r="C330" s="14">
        <v>9.04</v>
      </c>
      <c r="D330" s="14">
        <v>117.0</v>
      </c>
      <c r="E330" s="23" t="str">
        <f t="array" ref="E330">IF(C329&lt;statistics_analysis!$C$14,"low outlier",IF(C329&gt;statistics_analysis!$C$15,"high outlier","normal"))</f>
        <v>normal</v>
      </c>
    </row>
    <row r="331">
      <c r="A331" s="13" t="s">
        <v>329</v>
      </c>
      <c r="B331" s="14">
        <v>4.0</v>
      </c>
      <c r="C331" s="14">
        <v>1.63</v>
      </c>
      <c r="D331" s="14">
        <v>105.2</v>
      </c>
      <c r="E331" s="23" t="str">
        <f t="array" ref="E331">IF(C330&lt;statistics_analysis!$C$14,"low outlier",IF(C330&gt;statistics_analysis!$C$15,"high outlier","normal"))</f>
        <v>normal</v>
      </c>
    </row>
    <row r="332">
      <c r="A332" s="13" t="s">
        <v>330</v>
      </c>
      <c r="B332" s="14">
        <v>1.0</v>
      </c>
      <c r="C332" s="14">
        <v>34.44</v>
      </c>
      <c r="D332" s="14">
        <v>199.0</v>
      </c>
      <c r="E332" s="23" t="str">
        <f t="array" ref="E332">IF(C331&lt;statistics_analysis!$C$14,"low outlier",IF(C331&gt;statistics_analysis!$C$15,"high outlier","normal"))</f>
        <v>normal</v>
      </c>
    </row>
    <row r="333">
      <c r="A333" s="13" t="s">
        <v>331</v>
      </c>
      <c r="B333" s="14">
        <v>4.0</v>
      </c>
      <c r="C333" s="14">
        <v>5.92</v>
      </c>
      <c r="D333" s="14">
        <v>136.0</v>
      </c>
      <c r="E333" s="23" t="str">
        <f t="array" ref="E333">IF(C332&lt;statistics_analysis!$C$14,"low outlier",IF(C332&gt;statistics_analysis!$C$15,"high outlier","normal"))</f>
        <v>high outlier</v>
      </c>
    </row>
    <row r="334">
      <c r="A334" s="13" t="s">
        <v>332</v>
      </c>
      <c r="B334" s="14">
        <v>6.0</v>
      </c>
      <c r="C334" s="14">
        <v>6.96</v>
      </c>
      <c r="D334" s="14">
        <v>125.6</v>
      </c>
      <c r="E334" s="23" t="str">
        <f t="array" ref="E334">IF(C333&lt;statistics_analysis!$C$14,"low outlier",IF(C333&gt;statistics_analysis!$C$15,"high outlier","normal"))</f>
        <v>normal</v>
      </c>
    </row>
    <row r="335">
      <c r="A335" s="13" t="s">
        <v>333</v>
      </c>
      <c r="B335" s="14">
        <v>3.0</v>
      </c>
      <c r="C335" s="14">
        <v>2.83</v>
      </c>
      <c r="D335" s="14">
        <v>134.2</v>
      </c>
      <c r="E335" s="23" t="str">
        <f t="array" ref="E335">IF(C334&lt;statistics_analysis!$C$14,"low outlier",IF(C334&gt;statistics_analysis!$C$15,"high outlier","normal"))</f>
        <v>normal</v>
      </c>
    </row>
    <row r="336">
      <c r="A336" s="13" t="s">
        <v>334</v>
      </c>
      <c r="B336" s="14">
        <v>4.0</v>
      </c>
      <c r="C336" s="14">
        <v>6.37</v>
      </c>
      <c r="D336" s="14">
        <v>161.4</v>
      </c>
      <c r="E336" s="23" t="str">
        <f t="array" ref="E336">IF(C335&lt;statistics_analysis!$C$14,"low outlier",IF(C335&gt;statistics_analysis!$C$15,"high outlier","normal"))</f>
        <v>normal</v>
      </c>
    </row>
    <row r="337">
      <c r="A337" s="13" t="s">
        <v>335</v>
      </c>
      <c r="B337" s="14">
        <v>2.0</v>
      </c>
      <c r="C337" s="14">
        <v>10.84</v>
      </c>
      <c r="D337" s="14">
        <v>117.5</v>
      </c>
      <c r="E337" s="23" t="str">
        <f t="array" ref="E337">IF(C336&lt;statistics_analysis!$C$14,"low outlier",IF(C336&gt;statistics_analysis!$C$15,"high outlier","normal"))</f>
        <v>normal</v>
      </c>
    </row>
    <row r="338">
      <c r="A338" s="13" t="s">
        <v>336</v>
      </c>
      <c r="B338" s="14">
        <v>6.0</v>
      </c>
      <c r="C338" s="14">
        <v>13.91</v>
      </c>
      <c r="D338" s="14">
        <v>102.3</v>
      </c>
      <c r="E338" s="23" t="str">
        <f t="array" ref="E338">IF(C337&lt;statistics_analysis!$C$14,"low outlier",IF(C337&gt;statistics_analysis!$C$15,"high outlier","normal"))</f>
        <v>normal</v>
      </c>
    </row>
    <row r="339">
      <c r="A339" s="13" t="s">
        <v>337</v>
      </c>
      <c r="B339" s="14">
        <v>8.0</v>
      </c>
      <c r="C339" s="14">
        <v>14.02</v>
      </c>
      <c r="D339" s="14">
        <v>145.3</v>
      </c>
      <c r="E339" s="23" t="str">
        <f t="array" ref="E339">IF(C338&lt;statistics_analysis!$C$14,"low outlier",IF(C338&gt;statistics_analysis!$C$15,"high outlier","normal"))</f>
        <v>normal</v>
      </c>
    </row>
    <row r="340">
      <c r="A340" s="13" t="s">
        <v>338</v>
      </c>
      <c r="B340" s="14">
        <v>7.0</v>
      </c>
      <c r="C340" s="14">
        <v>8.62</v>
      </c>
      <c r="D340" s="14">
        <v>114.8</v>
      </c>
      <c r="E340" s="23" t="str">
        <f t="array" ref="E340">IF(C339&lt;statistics_analysis!$C$14,"low outlier",IF(C339&gt;statistics_analysis!$C$15,"high outlier","normal"))</f>
        <v>normal</v>
      </c>
    </row>
    <row r="341">
      <c r="A341" s="13" t="s">
        <v>339</v>
      </c>
      <c r="B341" s="14">
        <v>2.0</v>
      </c>
      <c r="C341" s="14">
        <v>23.47</v>
      </c>
      <c r="D341" s="14">
        <v>87.9</v>
      </c>
      <c r="E341" s="23" t="str">
        <f t="array" ref="E341">IF(C340&lt;statistics_analysis!$C$14,"low outlier",IF(C340&gt;statistics_analysis!$C$15,"high outlier","normal"))</f>
        <v>normal</v>
      </c>
    </row>
    <row r="342">
      <c r="A342" s="13" t="s">
        <v>340</v>
      </c>
      <c r="B342" s="14">
        <v>6.0</v>
      </c>
      <c r="C342" s="14">
        <v>17.01</v>
      </c>
      <c r="D342" s="14">
        <v>82.1</v>
      </c>
      <c r="E342" s="23" t="str">
        <f t="array" ref="E342">IF(C341&lt;statistics_analysis!$C$14,"low outlier",IF(C341&gt;statistics_analysis!$C$15,"high outlier","normal"))</f>
        <v>normal</v>
      </c>
    </row>
    <row r="343">
      <c r="A343" s="13" t="s">
        <v>341</v>
      </c>
      <c r="B343" s="14">
        <v>9.0</v>
      </c>
      <c r="C343" s="14">
        <v>14.15</v>
      </c>
      <c r="D343" s="14">
        <v>165.9</v>
      </c>
      <c r="E343" s="23" t="str">
        <f t="array" ref="E343">IF(C342&lt;statistics_analysis!$C$14,"low outlier",IF(C342&gt;statistics_analysis!$C$15,"high outlier","normal"))</f>
        <v>normal</v>
      </c>
    </row>
    <row r="344">
      <c r="A344" s="13" t="s">
        <v>342</v>
      </c>
      <c r="B344" s="14">
        <v>3.0</v>
      </c>
      <c r="C344" s="14">
        <v>0.57</v>
      </c>
      <c r="D344" s="14">
        <v>123.9</v>
      </c>
      <c r="E344" s="23" t="str">
        <f t="array" ref="E344">IF(C343&lt;statistics_analysis!$C$14,"low outlier",IF(C343&gt;statistics_analysis!$C$15,"high outlier","normal"))</f>
        <v>normal</v>
      </c>
    </row>
    <row r="345">
      <c r="A345" s="13" t="s">
        <v>343</v>
      </c>
      <c r="B345" s="14">
        <v>8.0</v>
      </c>
      <c r="C345" s="14">
        <v>0.07</v>
      </c>
      <c r="D345" s="14">
        <v>102.3</v>
      </c>
      <c r="E345" s="23" t="str">
        <f t="array" ref="E345">IF(C344&lt;statistics_analysis!$C$14,"low outlier",IF(C344&gt;statistics_analysis!$C$15,"high outlier","normal"))</f>
        <v>normal</v>
      </c>
    </row>
    <row r="346">
      <c r="A346" s="13" t="s">
        <v>344</v>
      </c>
      <c r="B346" s="14">
        <v>7.0</v>
      </c>
      <c r="C346" s="14">
        <v>2.39</v>
      </c>
      <c r="D346" s="14">
        <v>113.0</v>
      </c>
      <c r="E346" s="23" t="str">
        <f t="array" ref="E346">IF(C345&lt;statistics_analysis!$C$14,"low outlier",IF(C345&gt;statistics_analysis!$C$15,"high outlier","normal"))</f>
        <v>normal</v>
      </c>
    </row>
    <row r="347">
      <c r="A347" s="13" t="s">
        <v>345</v>
      </c>
      <c r="B347" s="14">
        <v>6.0</v>
      </c>
      <c r="C347" s="14">
        <v>10.89</v>
      </c>
      <c r="D347" s="14">
        <v>144.2</v>
      </c>
      <c r="E347" s="23" t="str">
        <f t="array" ref="E347">IF(C346&lt;statistics_analysis!$C$14,"low outlier",IF(C346&gt;statistics_analysis!$C$15,"high outlier","normal"))</f>
        <v>normal</v>
      </c>
    </row>
    <row r="348">
      <c r="A348" s="13" t="s">
        <v>346</v>
      </c>
      <c r="B348" s="14">
        <v>10.0</v>
      </c>
      <c r="C348" s="14">
        <v>5.3</v>
      </c>
      <c r="D348" s="14">
        <v>111.2</v>
      </c>
      <c r="E348" s="23" t="str">
        <f t="array" ref="E348">IF(C347&lt;statistics_analysis!$C$14,"low outlier",IF(C347&gt;statistics_analysis!$C$15,"high outlier","normal"))</f>
        <v>normal</v>
      </c>
    </row>
    <row r="349">
      <c r="A349" s="13" t="s">
        <v>347</v>
      </c>
      <c r="B349" s="14">
        <v>5.0</v>
      </c>
      <c r="C349" s="14">
        <v>5.15</v>
      </c>
      <c r="D349" s="14">
        <v>76.5</v>
      </c>
      <c r="E349" s="23" t="str">
        <f t="array" ref="E349">IF(C348&lt;statistics_analysis!$C$14,"low outlier",IF(C348&gt;statistics_analysis!$C$15,"high outlier","normal"))</f>
        <v>normal</v>
      </c>
    </row>
    <row r="350">
      <c r="A350" s="13" t="s">
        <v>348</v>
      </c>
      <c r="B350" s="14">
        <v>5.0</v>
      </c>
      <c r="C350" s="14">
        <v>21.59</v>
      </c>
      <c r="D350" s="14">
        <v>129.8</v>
      </c>
      <c r="E350" s="23" t="str">
        <f t="array" ref="E350">IF(C349&lt;statistics_analysis!$C$14,"low outlier",IF(C349&gt;statistics_analysis!$C$15,"high outlier","normal"))</f>
        <v>normal</v>
      </c>
    </row>
    <row r="351">
      <c r="A351" s="13" t="s">
        <v>349</v>
      </c>
      <c r="B351" s="14">
        <v>5.0</v>
      </c>
      <c r="C351" s="14">
        <v>22.59</v>
      </c>
      <c r="D351" s="14">
        <v>156.3</v>
      </c>
      <c r="E351" s="23" t="str">
        <f t="array" ref="E351">IF(C350&lt;statistics_analysis!$C$14,"low outlier",IF(C350&gt;statistics_analysis!$C$15,"high outlier","normal"))</f>
        <v>normal</v>
      </c>
    </row>
    <row r="352">
      <c r="A352" s="13" t="s">
        <v>350</v>
      </c>
      <c r="B352" s="14">
        <v>5.0</v>
      </c>
      <c r="C352" s="14">
        <v>23.99</v>
      </c>
      <c r="D352" s="14">
        <v>154.2</v>
      </c>
      <c r="E352" s="23" t="str">
        <f t="array" ref="E352">IF(C351&lt;statistics_analysis!$C$14,"low outlier",IF(C351&gt;statistics_analysis!$C$15,"high outlier","normal"))</f>
        <v>normal</v>
      </c>
    </row>
    <row r="353">
      <c r="A353" s="13" t="s">
        <v>351</v>
      </c>
      <c r="B353" s="14">
        <v>4.0</v>
      </c>
      <c r="C353" s="14">
        <v>3.77</v>
      </c>
      <c r="D353" s="14">
        <v>103.2</v>
      </c>
      <c r="E353" s="23" t="str">
        <f t="array" ref="E353">IF(C352&lt;statistics_analysis!$C$14,"low outlier",IF(C352&gt;statistics_analysis!$C$15,"high outlier","normal"))</f>
        <v>normal</v>
      </c>
    </row>
    <row r="354">
      <c r="A354" s="13" t="s">
        <v>352</v>
      </c>
      <c r="B354" s="14">
        <v>10.0</v>
      </c>
      <c r="C354" s="14">
        <v>11.75</v>
      </c>
      <c r="D354" s="14">
        <v>158.1</v>
      </c>
      <c r="E354" s="23" t="str">
        <f t="array" ref="E354">IF(C353&lt;statistics_analysis!$C$14,"low outlier",IF(C353&gt;statistics_analysis!$C$15,"high outlier","normal"))</f>
        <v>normal</v>
      </c>
    </row>
    <row r="355">
      <c r="A355" s="13" t="s">
        <v>353</v>
      </c>
      <c r="B355" s="14">
        <v>3.0</v>
      </c>
      <c r="C355" s="14">
        <v>3.17</v>
      </c>
      <c r="D355" s="14">
        <v>126.4</v>
      </c>
      <c r="E355" s="23" t="str">
        <f t="array" ref="E355">IF(C354&lt;statistics_analysis!$C$14,"low outlier",IF(C354&gt;statistics_analysis!$C$15,"high outlier","normal"))</f>
        <v>normal</v>
      </c>
    </row>
    <row r="356">
      <c r="A356" s="13" t="s">
        <v>354</v>
      </c>
      <c r="B356" s="14">
        <v>2.0</v>
      </c>
      <c r="C356" s="14">
        <v>2.11</v>
      </c>
      <c r="D356" s="14">
        <v>157.2</v>
      </c>
      <c r="E356" s="23" t="str">
        <f t="array" ref="E356">IF(C355&lt;statistics_analysis!$C$14,"low outlier",IF(C355&gt;statistics_analysis!$C$15,"high outlier","normal"))</f>
        <v>normal</v>
      </c>
    </row>
    <row r="357">
      <c r="A357" s="13" t="s">
        <v>355</v>
      </c>
      <c r="B357" s="14">
        <v>6.0</v>
      </c>
      <c r="C357" s="14">
        <v>2.04</v>
      </c>
      <c r="D357" s="14">
        <v>137.2</v>
      </c>
      <c r="E357" s="23" t="str">
        <f t="array" ref="E357">IF(C356&lt;statistics_analysis!$C$14,"low outlier",IF(C356&gt;statistics_analysis!$C$15,"high outlier","normal"))</f>
        <v>normal</v>
      </c>
    </row>
    <row r="358">
      <c r="A358" s="13" t="s">
        <v>356</v>
      </c>
      <c r="B358" s="14">
        <v>4.0</v>
      </c>
      <c r="C358" s="14">
        <v>4.19</v>
      </c>
      <c r="D358" s="14">
        <v>74.4</v>
      </c>
      <c r="E358" s="23" t="str">
        <f t="array" ref="E358">IF(C357&lt;statistics_analysis!$C$14,"low outlier",IF(C357&gt;statistics_analysis!$C$15,"high outlier","normal"))</f>
        <v>normal</v>
      </c>
    </row>
    <row r="359">
      <c r="A359" s="13" t="s">
        <v>357</v>
      </c>
      <c r="B359" s="14">
        <v>4.0</v>
      </c>
      <c r="C359" s="14">
        <v>5.62</v>
      </c>
      <c r="D359" s="14">
        <v>172.4</v>
      </c>
      <c r="E359" s="23" t="str">
        <f t="array" ref="E359">IF(C358&lt;statistics_analysis!$C$14,"low outlier",IF(C358&gt;statistics_analysis!$C$15,"high outlier","normal"))</f>
        <v>normal</v>
      </c>
    </row>
    <row r="360">
      <c r="A360" s="13" t="s">
        <v>358</v>
      </c>
      <c r="B360" s="14">
        <v>8.0</v>
      </c>
      <c r="C360" s="14">
        <v>17.78</v>
      </c>
      <c r="D360" s="14">
        <v>121.6</v>
      </c>
      <c r="E360" s="23" t="str">
        <f t="array" ref="E360">IF(C359&lt;statistics_analysis!$C$14,"low outlier",IF(C359&gt;statistics_analysis!$C$15,"high outlier","normal"))</f>
        <v>normal</v>
      </c>
    </row>
    <row r="361">
      <c r="A361" s="13" t="s">
        <v>359</v>
      </c>
      <c r="B361" s="14">
        <v>5.0</v>
      </c>
      <c r="C361" s="14">
        <v>1.28</v>
      </c>
      <c r="D361" s="14">
        <v>137.3</v>
      </c>
      <c r="E361" s="23" t="str">
        <f t="array" ref="E361">IF(C360&lt;statistics_analysis!$C$14,"low outlier",IF(C360&gt;statistics_analysis!$C$15,"high outlier","normal"))</f>
        <v>normal</v>
      </c>
    </row>
    <row r="362">
      <c r="A362" s="13" t="s">
        <v>360</v>
      </c>
      <c r="B362" s="14">
        <v>4.0</v>
      </c>
      <c r="C362" s="14">
        <v>13.28</v>
      </c>
      <c r="D362" s="14">
        <v>79.7</v>
      </c>
      <c r="E362" s="23" t="str">
        <f t="array" ref="E362">IF(C361&lt;statistics_analysis!$C$14,"low outlier",IF(C361&gt;statistics_analysis!$C$15,"high outlier","normal"))</f>
        <v>normal</v>
      </c>
    </row>
    <row r="363">
      <c r="A363" s="13" t="s">
        <v>361</v>
      </c>
      <c r="B363" s="14">
        <v>7.0</v>
      </c>
      <c r="C363" s="14">
        <v>7.58</v>
      </c>
      <c r="D363" s="14">
        <v>135.2</v>
      </c>
      <c r="E363" s="23" t="str">
        <f t="array" ref="E363">IF(C362&lt;statistics_analysis!$C$14,"low outlier",IF(C362&gt;statistics_analysis!$C$15,"high outlier","normal"))</f>
        <v>normal</v>
      </c>
    </row>
    <row r="364">
      <c r="A364" s="13" t="s">
        <v>362</v>
      </c>
      <c r="B364" s="14">
        <v>4.0</v>
      </c>
      <c r="C364" s="14">
        <v>3.4</v>
      </c>
      <c r="D364" s="14">
        <v>153.1</v>
      </c>
      <c r="E364" s="23" t="str">
        <f t="array" ref="E364">IF(C363&lt;statistics_analysis!$C$14,"low outlier",IF(C363&gt;statistics_analysis!$C$15,"high outlier","normal"))</f>
        <v>normal</v>
      </c>
    </row>
    <row r="365">
      <c r="A365" s="13" t="s">
        <v>363</v>
      </c>
      <c r="B365" s="14">
        <v>2.0</v>
      </c>
      <c r="C365" s="14">
        <v>6.79</v>
      </c>
      <c r="D365" s="14">
        <v>178.1</v>
      </c>
      <c r="E365" s="23" t="str">
        <f t="array" ref="E365">IF(C364&lt;statistics_analysis!$C$14,"low outlier",IF(C364&gt;statistics_analysis!$C$15,"high outlier","normal"))</f>
        <v>normal</v>
      </c>
    </row>
    <row r="366">
      <c r="A366" s="13" t="s">
        <v>364</v>
      </c>
      <c r="B366" s="14">
        <v>2.0</v>
      </c>
      <c r="C366" s="14">
        <v>3.57</v>
      </c>
      <c r="D366" s="14">
        <v>162.0</v>
      </c>
      <c r="E366" s="23" t="str">
        <f t="array" ref="E366">IF(C365&lt;statistics_analysis!$C$14,"low outlier",IF(C365&gt;statistics_analysis!$C$15,"high outlier","normal"))</f>
        <v>normal</v>
      </c>
    </row>
    <row r="367">
      <c r="A367" s="13" t="s">
        <v>365</v>
      </c>
      <c r="B367" s="14">
        <v>3.0</v>
      </c>
      <c r="C367" s="14">
        <v>9.07</v>
      </c>
      <c r="D367" s="14">
        <v>136.6</v>
      </c>
      <c r="E367" s="23" t="str">
        <f t="array" ref="E367">IF(C366&lt;statistics_analysis!$C$14,"low outlier",IF(C366&gt;statistics_analysis!$C$15,"high outlier","normal"))</f>
        <v>normal</v>
      </c>
    </row>
    <row r="368">
      <c r="A368" s="13" t="s">
        <v>366</v>
      </c>
      <c r="B368" s="14">
        <v>3.0</v>
      </c>
      <c r="C368" s="14">
        <v>5.69</v>
      </c>
      <c r="D368" s="14">
        <v>73.7</v>
      </c>
      <c r="E368" s="23" t="str">
        <f t="array" ref="E368">IF(C367&lt;statistics_analysis!$C$14,"low outlier",IF(C367&gt;statistics_analysis!$C$15,"high outlier","normal"))</f>
        <v>normal</v>
      </c>
    </row>
    <row r="369">
      <c r="A369" s="13" t="s">
        <v>367</v>
      </c>
      <c r="B369" s="14">
        <v>8.0</v>
      </c>
      <c r="C369" s="14">
        <v>1.8</v>
      </c>
      <c r="D369" s="14">
        <v>124.0</v>
      </c>
      <c r="E369" s="23" t="str">
        <f t="array" ref="E369">IF(C368&lt;statistics_analysis!$C$14,"low outlier",IF(C368&gt;statistics_analysis!$C$15,"high outlier","normal"))</f>
        <v>normal</v>
      </c>
    </row>
    <row r="370">
      <c r="A370" s="13" t="s">
        <v>368</v>
      </c>
      <c r="B370" s="14">
        <v>6.0</v>
      </c>
      <c r="C370" s="14">
        <v>1.24</v>
      </c>
      <c r="D370" s="14">
        <v>102.2</v>
      </c>
      <c r="E370" s="23" t="str">
        <f t="array" ref="E370">IF(C369&lt;statistics_analysis!$C$14,"low outlier",IF(C369&gt;statistics_analysis!$C$15,"high outlier","normal"))</f>
        <v>normal</v>
      </c>
    </row>
    <row r="371">
      <c r="A371" s="13" t="s">
        <v>369</v>
      </c>
      <c r="B371" s="14">
        <v>0.0</v>
      </c>
      <c r="C371" s="14">
        <v>7.91</v>
      </c>
      <c r="D371" s="14">
        <v>127.0</v>
      </c>
      <c r="E371" s="23" t="str">
        <f t="array" ref="E371">IF(C370&lt;statistics_analysis!$C$14,"low outlier",IF(C370&gt;statistics_analysis!$C$15,"high outlier","normal"))</f>
        <v>normal</v>
      </c>
    </row>
    <row r="372">
      <c r="A372" s="13" t="s">
        <v>370</v>
      </c>
      <c r="B372" s="14">
        <v>8.0</v>
      </c>
      <c r="C372" s="14">
        <v>23.27</v>
      </c>
      <c r="D372" s="14">
        <v>83.5</v>
      </c>
      <c r="E372" s="23" t="str">
        <f t="array" ref="E372">IF(C371&lt;statistics_analysis!$C$14,"low outlier",IF(C371&gt;statistics_analysis!$C$15,"high outlier","normal"))</f>
        <v>normal</v>
      </c>
    </row>
    <row r="373">
      <c r="A373" s="13" t="s">
        <v>371</v>
      </c>
      <c r="B373" s="14">
        <v>5.0</v>
      </c>
      <c r="C373" s="14">
        <v>4.22</v>
      </c>
      <c r="D373" s="14">
        <v>113.7</v>
      </c>
      <c r="E373" s="23" t="str">
        <f t="array" ref="E373">IF(C372&lt;statistics_analysis!$C$14,"low outlier",IF(C372&gt;statistics_analysis!$C$15,"high outlier","normal"))</f>
        <v>normal</v>
      </c>
    </row>
    <row r="374">
      <c r="A374" s="13" t="s">
        <v>372</v>
      </c>
      <c r="B374" s="14">
        <v>4.0</v>
      </c>
      <c r="C374" s="14">
        <v>13.21</v>
      </c>
      <c r="D374" s="14">
        <v>104.5</v>
      </c>
      <c r="E374" s="23" t="str">
        <f t="array" ref="E374">IF(C373&lt;statistics_analysis!$C$14,"low outlier",IF(C373&gt;statistics_analysis!$C$15,"high outlier","normal"))</f>
        <v>normal</v>
      </c>
    </row>
    <row r="375">
      <c r="A375" s="13" t="s">
        <v>373</v>
      </c>
      <c r="B375" s="14">
        <v>5.0</v>
      </c>
      <c r="C375" s="14">
        <v>10.75</v>
      </c>
      <c r="D375" s="14">
        <v>103.6</v>
      </c>
      <c r="E375" s="23" t="str">
        <f t="array" ref="E375">IF(C374&lt;statistics_analysis!$C$14,"low outlier",IF(C374&gt;statistics_analysis!$C$15,"high outlier","normal"))</f>
        <v>normal</v>
      </c>
    </row>
    <row r="376">
      <c r="A376" s="13" t="s">
        <v>374</v>
      </c>
      <c r="B376" s="14">
        <v>7.0</v>
      </c>
      <c r="C376" s="14">
        <v>26.82</v>
      </c>
      <c r="D376" s="14">
        <v>103.9</v>
      </c>
      <c r="E376" s="23" t="str">
        <f t="array" ref="E376">IF(C375&lt;statistics_analysis!$C$14,"low outlier",IF(C375&gt;statistics_analysis!$C$15,"high outlier","normal"))</f>
        <v>normal</v>
      </c>
    </row>
    <row r="377">
      <c r="A377" s="13" t="s">
        <v>375</v>
      </c>
      <c r="B377" s="14">
        <v>6.0</v>
      </c>
      <c r="C377" s="14">
        <v>17.2</v>
      </c>
      <c r="D377" s="14">
        <v>115.9</v>
      </c>
      <c r="E377" s="23" t="str">
        <f t="array" ref="E377">IF(C376&lt;statistics_analysis!$C$14,"low outlier",IF(C376&gt;statistics_analysis!$C$15,"high outlier","normal"))</f>
        <v>normal</v>
      </c>
    </row>
    <row r="378">
      <c r="A378" s="13" t="s">
        <v>376</v>
      </c>
      <c r="B378" s="14">
        <v>3.0</v>
      </c>
      <c r="C378" s="14">
        <v>8.36</v>
      </c>
      <c r="D378" s="14">
        <v>128.6</v>
      </c>
      <c r="E378" s="23" t="str">
        <f t="array" ref="E378">IF(C377&lt;statistics_analysis!$C$14,"low outlier",IF(C377&gt;statistics_analysis!$C$15,"high outlier","normal"))</f>
        <v>normal</v>
      </c>
    </row>
    <row r="379">
      <c r="A379" s="13" t="s">
        <v>377</v>
      </c>
      <c r="B379" s="14">
        <v>4.0</v>
      </c>
      <c r="C379" s="14">
        <v>10.7</v>
      </c>
      <c r="D379" s="14">
        <v>45.0</v>
      </c>
      <c r="E379" s="23" t="str">
        <f t="array" ref="E379">IF(C378&lt;statistics_analysis!$C$14,"low outlier",IF(C378&gt;statistics_analysis!$C$15,"high outlier","normal"))</f>
        <v>normal</v>
      </c>
    </row>
    <row r="380">
      <c r="A380" s="13" t="s">
        <v>378</v>
      </c>
      <c r="B380" s="14">
        <v>2.0</v>
      </c>
      <c r="C380" s="14">
        <v>22.87</v>
      </c>
      <c r="D380" s="14">
        <v>48.7</v>
      </c>
      <c r="E380" s="23" t="str">
        <f t="array" ref="E380">IF(C379&lt;statistics_analysis!$C$14,"low outlier",IF(C379&gt;statistics_analysis!$C$15,"high outlier","normal"))</f>
        <v>normal</v>
      </c>
    </row>
    <row r="381">
      <c r="A381" s="13">
        <v>3.0219571E7</v>
      </c>
      <c r="B381" s="14">
        <v>4.0</v>
      </c>
      <c r="C381" s="14">
        <v>5.1</v>
      </c>
      <c r="D381" s="14">
        <v>109.8</v>
      </c>
      <c r="E381" s="23" t="str">
        <f t="array" ref="E381">IF(C380&lt;statistics_analysis!$C$14,"low outlier",IF(C380&gt;statistics_analysis!$C$15,"high outlier","normal"))</f>
        <v>normal</v>
      </c>
    </row>
    <row r="382">
      <c r="A382" s="13" t="s">
        <v>379</v>
      </c>
      <c r="B382" s="14">
        <v>1.0</v>
      </c>
      <c r="C382" s="14">
        <v>3.96</v>
      </c>
      <c r="D382" s="14">
        <v>114.1</v>
      </c>
      <c r="E382" s="23" t="str">
        <f t="array" ref="E382">IF(C381&lt;statistics_analysis!$C$14,"low outlier",IF(C381&gt;statistics_analysis!$C$15,"high outlier","normal"))</f>
        <v>normal</v>
      </c>
    </row>
    <row r="383">
      <c r="A383" s="13" t="s">
        <v>380</v>
      </c>
      <c r="B383" s="14">
        <v>9.0</v>
      </c>
      <c r="C383" s="14">
        <v>0.11</v>
      </c>
      <c r="D383" s="14">
        <v>125.7</v>
      </c>
      <c r="E383" s="23" t="str">
        <f t="array" ref="E383">IF(C382&lt;statistics_analysis!$C$14,"low outlier",IF(C382&gt;statistics_analysis!$C$15,"high outlier","normal"))</f>
        <v>normal</v>
      </c>
    </row>
    <row r="384">
      <c r="A384" s="13" t="s">
        <v>381</v>
      </c>
      <c r="B384" s="14">
        <v>3.0</v>
      </c>
      <c r="C384" s="14">
        <v>17.52</v>
      </c>
      <c r="D384" s="14">
        <v>98.2</v>
      </c>
      <c r="E384" s="23" t="str">
        <f t="array" ref="E384">IF(C383&lt;statistics_analysis!$C$14,"low outlier",IF(C383&gt;statistics_analysis!$C$15,"high outlier","normal"))</f>
        <v>normal</v>
      </c>
    </row>
    <row r="385">
      <c r="A385" s="13" t="s">
        <v>382</v>
      </c>
      <c r="B385" s="14">
        <v>1.0</v>
      </c>
      <c r="C385" s="14">
        <v>16.14</v>
      </c>
      <c r="D385" s="14">
        <v>120.3</v>
      </c>
      <c r="E385" s="23" t="str">
        <f t="array" ref="E385">IF(C384&lt;statistics_analysis!$C$14,"low outlier",IF(C384&gt;statistics_analysis!$C$15,"high outlier","normal"))</f>
        <v>normal</v>
      </c>
    </row>
    <row r="386">
      <c r="A386" s="13" t="s">
        <v>383</v>
      </c>
      <c r="B386" s="14">
        <v>5.0</v>
      </c>
      <c r="C386" s="14">
        <v>1.1</v>
      </c>
      <c r="D386" s="14">
        <v>123.8</v>
      </c>
      <c r="E386" s="23" t="str">
        <f t="array" ref="E386">IF(C385&lt;statistics_analysis!$C$14,"low outlier",IF(C385&gt;statistics_analysis!$C$15,"high outlier","normal"))</f>
        <v>normal</v>
      </c>
    </row>
    <row r="387">
      <c r="A387" s="13" t="s">
        <v>384</v>
      </c>
      <c r="B387" s="14">
        <v>4.0</v>
      </c>
      <c r="C387" s="14">
        <v>8.6</v>
      </c>
      <c r="D387" s="14">
        <v>98.0</v>
      </c>
      <c r="E387" s="23" t="str">
        <f t="array" ref="E387">IF(C386&lt;statistics_analysis!$C$14,"low outlier",IF(C386&gt;statistics_analysis!$C$15,"high outlier","normal"))</f>
        <v>normal</v>
      </c>
    </row>
    <row r="388">
      <c r="A388" s="13" t="s">
        <v>385</v>
      </c>
      <c r="B388" s="14">
        <v>6.0</v>
      </c>
      <c r="C388" s="14">
        <v>6.24</v>
      </c>
      <c r="D388" s="14">
        <v>150.4</v>
      </c>
      <c r="E388" s="23" t="str">
        <f t="array" ref="E388">IF(C387&lt;statistics_analysis!$C$14,"low outlier",IF(C387&gt;statistics_analysis!$C$15,"high outlier","normal"))</f>
        <v>normal</v>
      </c>
    </row>
    <row r="389">
      <c r="A389" s="13" t="s">
        <v>386</v>
      </c>
      <c r="B389" s="14">
        <v>5.0</v>
      </c>
      <c r="C389" s="14">
        <v>1.26</v>
      </c>
      <c r="D389" s="14">
        <v>125.3</v>
      </c>
      <c r="E389" s="23" t="str">
        <f t="array" ref="E389">IF(C388&lt;statistics_analysis!$C$14,"low outlier",IF(C388&gt;statistics_analysis!$C$15,"high outlier","normal"))</f>
        <v>normal</v>
      </c>
    </row>
    <row r="390">
      <c r="A390" s="13" t="s">
        <v>387</v>
      </c>
      <c r="B390" s="14">
        <v>8.0</v>
      </c>
      <c r="C390" s="14">
        <v>39.41</v>
      </c>
      <c r="D390" s="14">
        <v>136.4</v>
      </c>
      <c r="E390" s="23" t="str">
        <f t="array" ref="E390">IF(C389&lt;statistics_analysis!$C$14,"low outlier",IF(C389&gt;statistics_analysis!$C$15,"high outlier","normal"))</f>
        <v>normal</v>
      </c>
    </row>
    <row r="391">
      <c r="A391" s="24">
        <v>2.06458E8</v>
      </c>
      <c r="B391" s="14">
        <v>5.0</v>
      </c>
      <c r="C391" s="14">
        <v>2.42</v>
      </c>
      <c r="D391" s="14">
        <v>122.1</v>
      </c>
      <c r="E391" s="23" t="str">
        <f t="array" ref="E391">IF(C390&lt;statistics_analysis!$C$14,"low outlier",IF(C390&gt;statistics_analysis!$C$15,"high outlier","normal"))</f>
        <v>high outlier</v>
      </c>
    </row>
    <row r="392">
      <c r="A392" s="13" t="s">
        <v>388</v>
      </c>
      <c r="B392" s="14">
        <v>7.0</v>
      </c>
      <c r="C392" s="14">
        <v>0.7</v>
      </c>
      <c r="D392" s="14">
        <v>183.1</v>
      </c>
      <c r="E392" s="23" t="str">
        <f t="array" ref="E392">IF(C391&lt;statistics_analysis!$C$14,"low outlier",IF(C391&gt;statistics_analysis!$C$15,"high outlier","normal"))</f>
        <v>normal</v>
      </c>
    </row>
    <row r="393">
      <c r="A393" s="13" t="s">
        <v>389</v>
      </c>
      <c r="B393" s="14">
        <v>4.0</v>
      </c>
      <c r="C393" s="14">
        <v>9.03</v>
      </c>
      <c r="D393" s="14">
        <v>137.9</v>
      </c>
      <c r="E393" s="23" t="str">
        <f t="array" ref="E393">IF(C392&lt;statistics_analysis!$C$14,"low outlier",IF(C392&gt;statistics_analysis!$C$15,"high outlier","normal"))</f>
        <v>normal</v>
      </c>
    </row>
    <row r="394">
      <c r="A394" s="13" t="s">
        <v>390</v>
      </c>
      <c r="B394" s="14">
        <v>1.0</v>
      </c>
      <c r="C394" s="14">
        <v>13.43</v>
      </c>
      <c r="D394" s="14">
        <v>105.4</v>
      </c>
      <c r="E394" s="23" t="str">
        <f t="array" ref="E394">IF(C393&lt;statistics_analysis!$C$14,"low outlier",IF(C393&gt;statistics_analysis!$C$15,"high outlier","normal"))</f>
        <v>normal</v>
      </c>
    </row>
    <row r="395">
      <c r="A395" s="13" t="s">
        <v>391</v>
      </c>
      <c r="B395" s="14">
        <v>5.0</v>
      </c>
      <c r="C395" s="14">
        <v>0.33</v>
      </c>
      <c r="D395" s="14">
        <v>144.6</v>
      </c>
      <c r="E395" s="23" t="str">
        <f t="array" ref="E395">IF(C394&lt;statistics_analysis!$C$14,"low outlier",IF(C394&gt;statistics_analysis!$C$15,"high outlier","normal"))</f>
        <v>normal</v>
      </c>
    </row>
    <row r="396">
      <c r="A396" s="13" t="s">
        <v>392</v>
      </c>
      <c r="B396" s="14">
        <v>4.0</v>
      </c>
      <c r="C396" s="14">
        <v>10.75</v>
      </c>
      <c r="D396" s="14">
        <v>70.9</v>
      </c>
      <c r="E396" s="23" t="str">
        <f t="array" ref="E396">IF(C395&lt;statistics_analysis!$C$14,"low outlier",IF(C395&gt;statistics_analysis!$C$15,"high outlier","normal"))</f>
        <v>normal</v>
      </c>
    </row>
    <row r="397">
      <c r="A397" s="13" t="s">
        <v>393</v>
      </c>
      <c r="B397" s="14">
        <v>3.0</v>
      </c>
      <c r="C397" s="14">
        <v>7.6</v>
      </c>
      <c r="D397" s="14">
        <v>123.6</v>
      </c>
      <c r="E397" s="23" t="str">
        <f t="array" ref="E397">IF(C396&lt;statistics_analysis!$C$14,"low outlier",IF(C396&gt;statistics_analysis!$C$15,"high outlier","normal"))</f>
        <v>normal</v>
      </c>
    </row>
    <row r="398">
      <c r="A398" s="13" t="s">
        <v>394</v>
      </c>
      <c r="B398" s="14">
        <v>2.0</v>
      </c>
      <c r="C398" s="14">
        <v>1.09</v>
      </c>
      <c r="D398" s="14">
        <v>129.6</v>
      </c>
      <c r="E398" s="23" t="str">
        <f t="array" ref="E398">IF(C397&lt;statistics_analysis!$C$14,"low outlier",IF(C397&gt;statistics_analysis!$C$15,"high outlier","normal"))</f>
        <v>normal</v>
      </c>
    </row>
    <row r="399">
      <c r="A399" s="13" t="s">
        <v>395</v>
      </c>
      <c r="B399" s="14">
        <v>12.0</v>
      </c>
      <c r="C399" s="14">
        <v>1.89</v>
      </c>
      <c r="D399" s="14">
        <v>123.9</v>
      </c>
      <c r="E399" s="23" t="str">
        <f t="array" ref="E399">IF(C398&lt;statistics_analysis!$C$14,"low outlier",IF(C398&gt;statistics_analysis!$C$15,"high outlier","normal"))</f>
        <v>normal</v>
      </c>
    </row>
    <row r="400">
      <c r="A400" s="13" t="s">
        <v>396</v>
      </c>
      <c r="B400" s="14">
        <v>5.0</v>
      </c>
      <c r="C400" s="14">
        <v>8.39</v>
      </c>
      <c r="D400" s="14">
        <v>110.0</v>
      </c>
      <c r="E400" s="23" t="str">
        <f t="array" ref="E400">IF(C399&lt;statistics_analysis!$C$14,"low outlier",IF(C399&gt;statistics_analysis!$C$15,"high outlier","normal"))</f>
        <v>normal</v>
      </c>
    </row>
    <row r="401">
      <c r="A401" s="13" t="s">
        <v>397</v>
      </c>
      <c r="B401" s="14">
        <v>10.0</v>
      </c>
      <c r="C401" s="14">
        <v>3.51</v>
      </c>
      <c r="D401" s="14">
        <v>89.6</v>
      </c>
      <c r="E401" s="23" t="str">
        <f t="array" ref="E401">IF(C400&lt;statistics_analysis!$C$14,"low outlier",IF(C400&gt;statistics_analysis!$C$15,"high outlier","normal"))</f>
        <v>normal</v>
      </c>
    </row>
    <row r="402">
      <c r="A402" s="13" t="s">
        <v>398</v>
      </c>
      <c r="B402" s="14">
        <v>6.0</v>
      </c>
      <c r="C402" s="14">
        <v>27.86</v>
      </c>
      <c r="D402" s="14">
        <v>96.3</v>
      </c>
      <c r="E402" s="23" t="str">
        <f t="array" ref="E402">IF(C401&lt;statistics_analysis!$C$14,"low outlier",IF(C401&gt;statistics_analysis!$C$15,"high outlier","normal"))</f>
        <v>normal</v>
      </c>
    </row>
    <row r="403">
      <c r="A403" s="13" t="s">
        <v>399</v>
      </c>
      <c r="B403" s="14">
        <v>1.0</v>
      </c>
      <c r="C403" s="14">
        <v>17.08</v>
      </c>
      <c r="D403" s="14">
        <v>123.1</v>
      </c>
      <c r="E403" s="23" t="str">
        <f t="array" ref="E403">IF(C402&lt;statistics_analysis!$C$14,"low outlier",IF(C402&gt;statistics_analysis!$C$15,"high outlier","normal"))</f>
        <v>normal</v>
      </c>
    </row>
    <row r="404">
      <c r="A404" s="13" t="s">
        <v>400</v>
      </c>
      <c r="B404" s="14">
        <v>6.0</v>
      </c>
      <c r="C404" s="14">
        <v>41.08</v>
      </c>
      <c r="D404" s="14">
        <v>86.6</v>
      </c>
      <c r="E404" s="23" t="str">
        <f t="array" ref="E404">IF(C403&lt;statistics_analysis!$C$14,"low outlier",IF(C403&gt;statistics_analysis!$C$15,"high outlier","normal"))</f>
        <v>normal</v>
      </c>
    </row>
    <row r="405">
      <c r="A405" s="13" t="s">
        <v>401</v>
      </c>
      <c r="B405" s="14">
        <v>2.0</v>
      </c>
      <c r="C405" s="14">
        <v>3.01</v>
      </c>
      <c r="D405" s="14">
        <v>173.1</v>
      </c>
      <c r="E405" s="23" t="str">
        <f t="array" ref="E405">IF(C404&lt;statistics_analysis!$C$14,"low outlier",IF(C404&gt;statistics_analysis!$C$15,"high outlier","normal"))</f>
        <v>high outlier</v>
      </c>
    </row>
    <row r="406">
      <c r="A406" s="13" t="s">
        <v>402</v>
      </c>
      <c r="B406" s="14">
        <v>4.0</v>
      </c>
      <c r="C406" s="14">
        <v>34.97</v>
      </c>
      <c r="D406" s="14">
        <v>40.8</v>
      </c>
      <c r="E406" s="23" t="str">
        <f t="array" ref="E406">IF(C405&lt;statistics_analysis!$C$14,"low outlier",IF(C405&gt;statistics_analysis!$C$15,"high outlier","normal"))</f>
        <v>normal</v>
      </c>
    </row>
    <row r="407">
      <c r="A407" s="13" t="s">
        <v>403</v>
      </c>
      <c r="B407" s="14">
        <v>5.0</v>
      </c>
      <c r="C407" s="14">
        <v>5.64</v>
      </c>
      <c r="D407" s="14">
        <v>110.3</v>
      </c>
      <c r="E407" s="23" t="str">
        <f t="array" ref="E407">IF(C406&lt;statistics_analysis!$C$14,"low outlier",IF(C406&gt;statistics_analysis!$C$15,"high outlier","normal"))</f>
        <v>high outlier</v>
      </c>
    </row>
    <row r="408">
      <c r="A408" s="13" t="s">
        <v>404</v>
      </c>
      <c r="B408" s="14">
        <v>8.0</v>
      </c>
      <c r="C408" s="14">
        <v>4.27</v>
      </c>
      <c r="D408" s="14">
        <v>123.3</v>
      </c>
      <c r="E408" s="23" t="str">
        <f t="array" ref="E408">IF(C407&lt;statistics_analysis!$C$14,"low outlier",IF(C407&gt;statistics_analysis!$C$15,"high outlier","normal"))</f>
        <v>normal</v>
      </c>
    </row>
    <row r="409">
      <c r="A409" s="24">
        <v>4.0179E33</v>
      </c>
      <c r="B409" s="14">
        <v>4.0</v>
      </c>
      <c r="C409" s="14">
        <v>0.52</v>
      </c>
      <c r="D409" s="14">
        <v>135.2</v>
      </c>
      <c r="E409" s="23" t="str">
        <f t="array" ref="E409">IF(C408&lt;statistics_analysis!$C$14,"low outlier",IF(C408&gt;statistics_analysis!$C$15,"high outlier","normal"))</f>
        <v>normal</v>
      </c>
    </row>
    <row r="410">
      <c r="A410" s="13" t="s">
        <v>405</v>
      </c>
      <c r="B410" s="14">
        <v>2.0</v>
      </c>
      <c r="C410" s="14">
        <v>0.54</v>
      </c>
      <c r="D410" s="14">
        <v>92.5</v>
      </c>
      <c r="E410" s="23" t="str">
        <f t="array" ref="E410">IF(C409&lt;statistics_analysis!$C$14,"low outlier",IF(C409&gt;statistics_analysis!$C$15,"high outlier","normal"))</f>
        <v>normal</v>
      </c>
    </row>
    <row r="411">
      <c r="A411" s="13" t="s">
        <v>406</v>
      </c>
      <c r="B411" s="14">
        <v>1.0</v>
      </c>
      <c r="C411" s="14">
        <v>11.78</v>
      </c>
      <c r="D411" s="14">
        <v>154.0</v>
      </c>
      <c r="E411" s="23" t="str">
        <f t="array" ref="E411">IF(C410&lt;statistics_analysis!$C$14,"low outlier",IF(C410&gt;statistics_analysis!$C$15,"high outlier","normal"))</f>
        <v>normal</v>
      </c>
    </row>
    <row r="412">
      <c r="A412" s="13" t="s">
        <v>407</v>
      </c>
      <c r="B412" s="14">
        <v>8.0</v>
      </c>
      <c r="C412" s="14">
        <v>6.12</v>
      </c>
      <c r="D412" s="14">
        <v>78.2</v>
      </c>
      <c r="E412" s="23" t="str">
        <f t="array" ref="E412">IF(C411&lt;statistics_analysis!$C$14,"low outlier",IF(C411&gt;statistics_analysis!$C$15,"high outlier","normal"))</f>
        <v>normal</v>
      </c>
    </row>
    <row r="413">
      <c r="A413" s="13" t="s">
        <v>408</v>
      </c>
      <c r="B413" s="14">
        <v>8.0</v>
      </c>
      <c r="C413" s="14">
        <v>2.57</v>
      </c>
      <c r="D413" s="14">
        <v>103.0</v>
      </c>
      <c r="E413" s="23" t="str">
        <f t="array" ref="E413">IF(C412&lt;statistics_analysis!$C$14,"low outlier",IF(C412&gt;statistics_analysis!$C$15,"high outlier","normal"))</f>
        <v>normal</v>
      </c>
    </row>
    <row r="414">
      <c r="A414" s="13" t="s">
        <v>409</v>
      </c>
      <c r="B414" s="14">
        <v>4.0</v>
      </c>
      <c r="C414" s="14">
        <v>9.52</v>
      </c>
      <c r="D414" s="14">
        <v>138.6</v>
      </c>
      <c r="E414" s="23" t="str">
        <f t="array" ref="E414">IF(C413&lt;statistics_analysis!$C$14,"low outlier",IF(C413&gt;statistics_analysis!$C$15,"high outlier","normal"))</f>
        <v>normal</v>
      </c>
    </row>
    <row r="415">
      <c r="A415" s="13" t="s">
        <v>410</v>
      </c>
      <c r="B415" s="14">
        <v>1.0</v>
      </c>
      <c r="C415" s="14">
        <v>2.92</v>
      </c>
      <c r="D415" s="14">
        <v>151.2</v>
      </c>
      <c r="E415" s="23" t="str">
        <f t="array" ref="E415">IF(C414&lt;statistics_analysis!$C$14,"low outlier",IF(C414&gt;statistics_analysis!$C$15,"high outlier","normal"))</f>
        <v>normal</v>
      </c>
    </row>
    <row r="416">
      <c r="A416" s="13" t="s">
        <v>411</v>
      </c>
      <c r="B416" s="14">
        <v>9.0</v>
      </c>
      <c r="C416" s="14">
        <v>8.62</v>
      </c>
      <c r="D416" s="14">
        <v>77.9</v>
      </c>
      <c r="E416" s="23" t="str">
        <f t="array" ref="E416">IF(C415&lt;statistics_analysis!$C$14,"low outlier",IF(C415&gt;statistics_analysis!$C$15,"high outlier","normal"))</f>
        <v>normal</v>
      </c>
    </row>
    <row r="417">
      <c r="A417" s="13" t="s">
        <v>412</v>
      </c>
      <c r="B417" s="14">
        <v>4.0</v>
      </c>
      <c r="C417" s="14">
        <v>4.45</v>
      </c>
      <c r="D417" s="14">
        <v>199.4</v>
      </c>
      <c r="E417" s="23" t="str">
        <f t="array" ref="E417">IF(C416&lt;statistics_analysis!$C$14,"low outlier",IF(C416&gt;statistics_analysis!$C$15,"high outlier","normal"))</f>
        <v>normal</v>
      </c>
    </row>
    <row r="418">
      <c r="A418" s="13" t="s">
        <v>413</v>
      </c>
      <c r="B418" s="14">
        <v>2.0</v>
      </c>
      <c r="C418" s="14">
        <v>17.35</v>
      </c>
      <c r="D418" s="14">
        <v>93.1</v>
      </c>
      <c r="E418" s="23" t="str">
        <f t="array" ref="E418">IF(C417&lt;statistics_analysis!$C$14,"low outlier",IF(C417&gt;statistics_analysis!$C$15,"high outlier","normal"))</f>
        <v>normal</v>
      </c>
    </row>
    <row r="419">
      <c r="A419" s="13" t="s">
        <v>414</v>
      </c>
      <c r="B419" s="14">
        <v>4.0</v>
      </c>
      <c r="C419" s="14">
        <v>17.19</v>
      </c>
      <c r="D419" s="14">
        <v>80.6</v>
      </c>
      <c r="E419" s="23" t="str">
        <f t="array" ref="E419">IF(C418&lt;statistics_analysis!$C$14,"low outlier",IF(C418&gt;statistics_analysis!$C$15,"high outlier","normal"))</f>
        <v>normal</v>
      </c>
    </row>
    <row r="420">
      <c r="A420" s="13" t="s">
        <v>415</v>
      </c>
      <c r="B420" s="14">
        <v>3.0</v>
      </c>
      <c r="C420" s="14">
        <v>6.49</v>
      </c>
      <c r="D420" s="14">
        <v>135.1</v>
      </c>
      <c r="E420" s="23" t="str">
        <f t="array" ref="E420">IF(C419&lt;statistics_analysis!$C$14,"low outlier",IF(C419&gt;statistics_analysis!$C$15,"high outlier","normal"))</f>
        <v>normal</v>
      </c>
    </row>
    <row r="421">
      <c r="A421" s="13" t="s">
        <v>416</v>
      </c>
      <c r="B421" s="14">
        <v>8.0</v>
      </c>
      <c r="C421" s="14">
        <v>4.32</v>
      </c>
      <c r="D421" s="14">
        <v>109.6</v>
      </c>
      <c r="E421" s="23" t="str">
        <f t="array" ref="E421">IF(C420&lt;statistics_analysis!$C$14,"low outlier",IF(C420&gt;statistics_analysis!$C$15,"high outlier","normal"))</f>
        <v>normal</v>
      </c>
    </row>
    <row r="422">
      <c r="A422" s="13" t="s">
        <v>417</v>
      </c>
      <c r="B422" s="14">
        <v>9.0</v>
      </c>
      <c r="C422" s="14">
        <v>4.5</v>
      </c>
      <c r="D422" s="14">
        <v>105.1</v>
      </c>
      <c r="E422" s="23" t="str">
        <f t="array" ref="E422">IF(C421&lt;statistics_analysis!$C$14,"low outlier",IF(C421&gt;statistics_analysis!$C$15,"high outlier","normal"))</f>
        <v>normal</v>
      </c>
    </row>
    <row r="423">
      <c r="A423" s="13" t="s">
        <v>418</v>
      </c>
      <c r="B423" s="14">
        <v>4.0</v>
      </c>
      <c r="C423" s="14">
        <v>16.38</v>
      </c>
      <c r="D423" s="14">
        <v>137.9</v>
      </c>
      <c r="E423" s="23" t="str">
        <f t="array" ref="E423">IF(C422&lt;statistics_analysis!$C$14,"low outlier",IF(C422&gt;statistics_analysis!$C$15,"high outlier","normal"))</f>
        <v>normal</v>
      </c>
    </row>
    <row r="424">
      <c r="A424" s="13" t="s">
        <v>419</v>
      </c>
      <c r="B424" s="14">
        <v>4.0</v>
      </c>
      <c r="C424" s="14">
        <v>3.98</v>
      </c>
      <c r="D424" s="14">
        <v>74.2</v>
      </c>
      <c r="E424" s="23" t="str">
        <f t="array" ref="E424">IF(C423&lt;statistics_analysis!$C$14,"low outlier",IF(C423&gt;statistics_analysis!$C$15,"high outlier","normal"))</f>
        <v>normal</v>
      </c>
    </row>
    <row r="425">
      <c r="A425" s="13" t="s">
        <v>420</v>
      </c>
      <c r="B425" s="14">
        <v>5.0</v>
      </c>
      <c r="C425" s="14">
        <v>2.35</v>
      </c>
      <c r="D425" s="14">
        <v>68.9</v>
      </c>
      <c r="E425" s="23" t="str">
        <f t="array" ref="E425">IF(C424&lt;statistics_analysis!$C$14,"low outlier",IF(C424&gt;statistics_analysis!$C$15,"high outlier","normal"))</f>
        <v>normal</v>
      </c>
    </row>
    <row r="426">
      <c r="A426" s="13" t="s">
        <v>421</v>
      </c>
      <c r="B426" s="14">
        <v>11.0</v>
      </c>
      <c r="C426" s="14">
        <v>0.88</v>
      </c>
      <c r="D426" s="14">
        <v>102.1</v>
      </c>
      <c r="E426" s="23" t="str">
        <f t="array" ref="E426">IF(C425&lt;statistics_analysis!$C$14,"low outlier",IF(C425&gt;statistics_analysis!$C$15,"high outlier","normal"))</f>
        <v>normal</v>
      </c>
    </row>
    <row r="427">
      <c r="A427" s="13" t="s">
        <v>422</v>
      </c>
      <c r="B427" s="14">
        <v>8.0</v>
      </c>
      <c r="C427" s="14">
        <v>6.29</v>
      </c>
      <c r="D427" s="14">
        <v>152.3</v>
      </c>
      <c r="E427" s="23" t="str">
        <f t="array" ref="E427">IF(C426&lt;statistics_analysis!$C$14,"low outlier",IF(C426&gt;statistics_analysis!$C$15,"high outlier","normal"))</f>
        <v>normal</v>
      </c>
    </row>
    <row r="428">
      <c r="A428" s="13" t="s">
        <v>423</v>
      </c>
      <c r="B428" s="14">
        <v>6.0</v>
      </c>
      <c r="C428" s="14">
        <v>6.58</v>
      </c>
      <c r="D428" s="14">
        <v>103.4</v>
      </c>
      <c r="E428" s="23" t="str">
        <f t="array" ref="E428">IF(C427&lt;statistics_analysis!$C$14,"low outlier",IF(C427&gt;statistics_analysis!$C$15,"high outlier","normal"))</f>
        <v>normal</v>
      </c>
    </row>
    <row r="429">
      <c r="A429" s="13" t="s">
        <v>424</v>
      </c>
      <c r="B429" s="14">
        <v>2.0</v>
      </c>
      <c r="C429" s="14">
        <v>18.38</v>
      </c>
      <c r="D429" s="14">
        <v>168.0</v>
      </c>
      <c r="E429" s="23" t="str">
        <f t="array" ref="E429">IF(C428&lt;statistics_analysis!$C$14,"low outlier",IF(C428&gt;statistics_analysis!$C$15,"high outlier","normal"))</f>
        <v>normal</v>
      </c>
    </row>
    <row r="430">
      <c r="A430" s="13" t="s">
        <v>425</v>
      </c>
      <c r="B430" s="14">
        <v>8.0</v>
      </c>
      <c r="C430" s="14">
        <v>2.5</v>
      </c>
      <c r="D430" s="14">
        <v>156.0</v>
      </c>
      <c r="E430" s="23" t="str">
        <f t="array" ref="E430">IF(C429&lt;statistics_analysis!$C$14,"low outlier",IF(C429&gt;statistics_analysis!$C$15,"high outlier","normal"))</f>
        <v>normal</v>
      </c>
    </row>
    <row r="431">
      <c r="A431" s="13" t="s">
        <v>426</v>
      </c>
      <c r="B431" s="14">
        <v>7.0</v>
      </c>
      <c r="C431" s="14">
        <v>4.8</v>
      </c>
      <c r="D431" s="14">
        <v>128.5</v>
      </c>
      <c r="E431" s="23" t="str">
        <f t="array" ref="E431">IF(C430&lt;statistics_analysis!$C$14,"low outlier",IF(C430&gt;statistics_analysis!$C$15,"high outlier","normal"))</f>
        <v>normal</v>
      </c>
    </row>
    <row r="432">
      <c r="A432" s="13" t="s">
        <v>427</v>
      </c>
      <c r="B432" s="14">
        <v>6.0</v>
      </c>
      <c r="C432" s="14">
        <v>16.52</v>
      </c>
      <c r="D432" s="14">
        <v>130.2</v>
      </c>
      <c r="E432" s="23" t="str">
        <f t="array" ref="E432">IF(C431&lt;statistics_analysis!$C$14,"low outlier",IF(C431&gt;statistics_analysis!$C$15,"high outlier","normal"))</f>
        <v>normal</v>
      </c>
    </row>
    <row r="433">
      <c r="A433" s="13" t="s">
        <v>428</v>
      </c>
      <c r="B433" s="14">
        <v>5.0</v>
      </c>
      <c r="C433" s="14">
        <v>17.35</v>
      </c>
      <c r="D433" s="14">
        <v>128.5</v>
      </c>
      <c r="E433" s="23" t="str">
        <f t="array" ref="E433">IF(C432&lt;statistics_analysis!$C$14,"low outlier",IF(C432&gt;statistics_analysis!$C$15,"high outlier","normal"))</f>
        <v>normal</v>
      </c>
    </row>
    <row r="434">
      <c r="A434" s="13" t="s">
        <v>429</v>
      </c>
      <c r="B434" s="14">
        <v>3.0</v>
      </c>
      <c r="C434" s="14">
        <v>4.86</v>
      </c>
      <c r="D434" s="14">
        <v>124.8</v>
      </c>
      <c r="E434" s="23" t="str">
        <f t="array" ref="E434">IF(C433&lt;statistics_analysis!$C$14,"low outlier",IF(C433&gt;statistics_analysis!$C$15,"high outlier","normal"))</f>
        <v>normal</v>
      </c>
    </row>
    <row r="435">
      <c r="A435" s="13" t="s">
        <v>430</v>
      </c>
      <c r="B435" s="14">
        <v>5.0</v>
      </c>
      <c r="C435" s="14">
        <v>6.15</v>
      </c>
      <c r="D435" s="14">
        <v>109.0</v>
      </c>
      <c r="E435" s="23" t="str">
        <f t="array" ref="E435">IF(C434&lt;statistics_analysis!$C$14,"low outlier",IF(C434&gt;statistics_analysis!$C$15,"high outlier","normal"))</f>
        <v>normal</v>
      </c>
    </row>
    <row r="436">
      <c r="A436" s="13" t="s">
        <v>431</v>
      </c>
      <c r="B436" s="14">
        <v>3.0</v>
      </c>
      <c r="C436" s="14">
        <v>3.61</v>
      </c>
      <c r="D436" s="14">
        <v>112.5</v>
      </c>
      <c r="E436" s="23" t="str">
        <f t="array" ref="E436">IF(C435&lt;statistics_analysis!$C$14,"low outlier",IF(C435&gt;statistics_analysis!$C$15,"high outlier","normal"))</f>
        <v>normal</v>
      </c>
    </row>
    <row r="437">
      <c r="A437" s="13">
        <v>8.3686047E7</v>
      </c>
      <c r="B437" s="14">
        <v>3.0</v>
      </c>
      <c r="C437" s="14">
        <v>26.96</v>
      </c>
      <c r="D437" s="14">
        <v>87.9</v>
      </c>
      <c r="E437" s="23" t="str">
        <f t="array" ref="E437">IF(C436&lt;statistics_analysis!$C$14,"low outlier",IF(C436&gt;statistics_analysis!$C$15,"high outlier","normal"))</f>
        <v>normal</v>
      </c>
    </row>
    <row r="438">
      <c r="A438" s="13" t="s">
        <v>432</v>
      </c>
      <c r="B438" s="14">
        <v>7.0</v>
      </c>
      <c r="C438" s="14">
        <v>1.26</v>
      </c>
      <c r="D438" s="14">
        <v>53.7</v>
      </c>
      <c r="E438" s="23" t="str">
        <f t="array" ref="E438">IF(C437&lt;statistics_analysis!$C$14,"low outlier",IF(C437&gt;statistics_analysis!$C$15,"high outlier","normal"))</f>
        <v>normal</v>
      </c>
    </row>
    <row r="439">
      <c r="A439" s="13" t="s">
        <v>433</v>
      </c>
      <c r="B439" s="14">
        <v>4.0</v>
      </c>
      <c r="C439" s="14">
        <v>27.14</v>
      </c>
      <c r="D439" s="14">
        <v>153.1</v>
      </c>
      <c r="E439" s="23" t="str">
        <f t="array" ref="E439">IF(C438&lt;statistics_analysis!$C$14,"low outlier",IF(C438&gt;statistics_analysis!$C$15,"high outlier","normal"))</f>
        <v>normal</v>
      </c>
    </row>
    <row r="440">
      <c r="A440" s="13" t="s">
        <v>434</v>
      </c>
      <c r="B440" s="14">
        <v>4.0</v>
      </c>
      <c r="C440" s="14">
        <v>11.52</v>
      </c>
      <c r="D440" s="14">
        <v>124.7</v>
      </c>
      <c r="E440" s="23" t="str">
        <f t="array" ref="E440">IF(C439&lt;statistics_analysis!$C$14,"low outlier",IF(C439&gt;statistics_analysis!$C$15,"high outlier","normal"))</f>
        <v>normal</v>
      </c>
    </row>
    <row r="441">
      <c r="A441" s="13">
        <v>7251235.0</v>
      </c>
      <c r="B441" s="14">
        <v>6.0</v>
      </c>
      <c r="C441" s="14">
        <v>7.58</v>
      </c>
      <c r="D441" s="14">
        <v>120.2</v>
      </c>
      <c r="E441" s="23" t="str">
        <f t="array" ref="E441">IF(C440&lt;statistics_analysis!$C$14,"low outlier",IF(C440&gt;statistics_analysis!$C$15,"high outlier","normal"))</f>
        <v>normal</v>
      </c>
    </row>
    <row r="442">
      <c r="A442" s="13" t="s">
        <v>435</v>
      </c>
      <c r="B442" s="14">
        <v>6.0</v>
      </c>
      <c r="C442" s="14">
        <v>0.33</v>
      </c>
      <c r="D442" s="14">
        <v>132.0</v>
      </c>
      <c r="E442" s="23" t="str">
        <f t="array" ref="E442">IF(C441&lt;statistics_analysis!$C$14,"low outlier",IF(C441&gt;statistics_analysis!$C$15,"high outlier","normal"))</f>
        <v>normal</v>
      </c>
    </row>
    <row r="443">
      <c r="A443" s="13" t="s">
        <v>436</v>
      </c>
      <c r="B443" s="14">
        <v>3.0</v>
      </c>
      <c r="C443" s="14">
        <v>6.45</v>
      </c>
      <c r="D443" s="14">
        <v>95.1</v>
      </c>
      <c r="E443" s="23" t="str">
        <f t="array" ref="E443">IF(C442&lt;statistics_analysis!$C$14,"low outlier",IF(C442&gt;statistics_analysis!$C$15,"high outlier","normal"))</f>
        <v>normal</v>
      </c>
    </row>
    <row r="444">
      <c r="A444" s="13" t="s">
        <v>437</v>
      </c>
      <c r="B444" s="14">
        <v>4.0</v>
      </c>
      <c r="C444" s="14">
        <v>5.24</v>
      </c>
      <c r="D444" s="14">
        <v>90.0</v>
      </c>
      <c r="E444" s="23" t="str">
        <f t="array" ref="E444">IF(C443&lt;statistics_analysis!$C$14,"low outlier",IF(C443&gt;statistics_analysis!$C$15,"high outlier","normal"))</f>
        <v>normal</v>
      </c>
    </row>
    <row r="445">
      <c r="A445" s="13">
        <v>2.0715541E7</v>
      </c>
      <c r="B445" s="14">
        <v>6.0</v>
      </c>
      <c r="C445" s="14">
        <v>1.76</v>
      </c>
      <c r="D445" s="14">
        <v>111.5</v>
      </c>
      <c r="E445" s="23" t="str">
        <f t="array" ref="E445">IF(C444&lt;statistics_analysis!$C$14,"low outlier",IF(C444&gt;statistics_analysis!$C$15,"high outlier","normal"))</f>
        <v>normal</v>
      </c>
    </row>
    <row r="446">
      <c r="A446" s="13" t="s">
        <v>438</v>
      </c>
      <c r="B446" s="14">
        <v>6.0</v>
      </c>
      <c r="C446" s="14">
        <v>10.68</v>
      </c>
      <c r="D446" s="14">
        <v>161.0</v>
      </c>
      <c r="E446" s="23" t="str">
        <f t="array" ref="E446">IF(C445&lt;statistics_analysis!$C$14,"low outlier",IF(C445&gt;statistics_analysis!$C$15,"high outlier","normal"))</f>
        <v>normal</v>
      </c>
    </row>
    <row r="447">
      <c r="A447" s="13" t="s">
        <v>439</v>
      </c>
      <c r="B447" s="14">
        <v>6.0</v>
      </c>
      <c r="C447" s="14">
        <v>35.46</v>
      </c>
      <c r="D447" s="14">
        <v>84.9</v>
      </c>
      <c r="E447" s="23" t="str">
        <f t="array" ref="E447">IF(C446&lt;statistics_analysis!$C$14,"low outlier",IF(C446&gt;statistics_analysis!$C$15,"high outlier","normal"))</f>
        <v>normal</v>
      </c>
    </row>
    <row r="448">
      <c r="A448" s="13" t="s">
        <v>440</v>
      </c>
      <c r="B448" s="14">
        <v>6.0</v>
      </c>
      <c r="C448" s="14">
        <v>8.26</v>
      </c>
      <c r="D448" s="14">
        <v>41.2</v>
      </c>
      <c r="E448" s="23" t="str">
        <f t="array" ref="E448">IF(C447&lt;statistics_analysis!$C$14,"low outlier",IF(C447&gt;statistics_analysis!$C$15,"high outlier","normal"))</f>
        <v>high outlier</v>
      </c>
    </row>
    <row r="449">
      <c r="A449" s="13" t="s">
        <v>441</v>
      </c>
      <c r="B449" s="14">
        <v>3.0</v>
      </c>
      <c r="C449" s="14">
        <v>12.54</v>
      </c>
      <c r="D449" s="14">
        <v>104.4</v>
      </c>
      <c r="E449" s="23" t="str">
        <f t="array" ref="E449">IF(C448&lt;statistics_analysis!$C$14,"low outlier",IF(C448&gt;statistics_analysis!$C$15,"high outlier","normal"))</f>
        <v>normal</v>
      </c>
    </row>
    <row r="450">
      <c r="A450" s="13" t="s">
        <v>442</v>
      </c>
      <c r="B450" s="14">
        <v>5.0</v>
      </c>
      <c r="C450" s="14">
        <v>0.71</v>
      </c>
      <c r="D450" s="14">
        <v>154.3</v>
      </c>
      <c r="E450" s="23" t="str">
        <f t="array" ref="E450">IF(C449&lt;statistics_analysis!$C$14,"low outlier",IF(C449&gt;statistics_analysis!$C$15,"high outlier","normal"))</f>
        <v>normal</v>
      </c>
    </row>
    <row r="451">
      <c r="A451" s="13" t="s">
        <v>443</v>
      </c>
      <c r="B451" s="14">
        <v>2.0</v>
      </c>
      <c r="C451" s="14">
        <v>5.41</v>
      </c>
      <c r="D451" s="14">
        <v>68.0</v>
      </c>
      <c r="E451" s="23" t="str">
        <f t="array" ref="E451">IF(C450&lt;statistics_analysis!$C$14,"low outlier",IF(C450&gt;statistics_analysis!$C$15,"high outlier","normal"))</f>
        <v>normal</v>
      </c>
    </row>
    <row r="452">
      <c r="A452" s="13" t="s">
        <v>444</v>
      </c>
      <c r="B452" s="14">
        <v>5.0</v>
      </c>
      <c r="C452" s="14">
        <v>1.24</v>
      </c>
      <c r="D452" s="14">
        <v>84.6</v>
      </c>
      <c r="E452" s="23" t="str">
        <f t="array" ref="E452">IF(C451&lt;statistics_analysis!$C$14,"low outlier",IF(C451&gt;statistics_analysis!$C$15,"high outlier","normal"))</f>
        <v>normal</v>
      </c>
    </row>
    <row r="453">
      <c r="A453" s="13" t="s">
        <v>445</v>
      </c>
      <c r="B453" s="14">
        <v>3.0</v>
      </c>
      <c r="C453" s="14">
        <v>9.49</v>
      </c>
      <c r="D453" s="14">
        <v>127.9</v>
      </c>
      <c r="E453" s="23" t="str">
        <f t="array" ref="E453">IF(C452&lt;statistics_analysis!$C$14,"low outlier",IF(C452&gt;statistics_analysis!$C$15,"high outlier","normal"))</f>
        <v>normal</v>
      </c>
    </row>
    <row r="454">
      <c r="A454" s="13" t="s">
        <v>446</v>
      </c>
      <c r="B454" s="14">
        <v>3.0</v>
      </c>
      <c r="C454" s="14">
        <v>27.88</v>
      </c>
      <c r="D454" s="14">
        <v>197.1</v>
      </c>
      <c r="E454" s="23" t="str">
        <f t="array" ref="E454">IF(C453&lt;statistics_analysis!$C$14,"low outlier",IF(C453&gt;statistics_analysis!$C$15,"high outlier","normal"))</f>
        <v>normal</v>
      </c>
    </row>
    <row r="455">
      <c r="A455" s="13" t="s">
        <v>447</v>
      </c>
      <c r="B455" s="14">
        <v>5.0</v>
      </c>
      <c r="C455" s="14">
        <v>10.84</v>
      </c>
      <c r="D455" s="14">
        <v>79.3</v>
      </c>
      <c r="E455" s="23" t="str">
        <f t="array" ref="E455">IF(C454&lt;statistics_analysis!$C$14,"low outlier",IF(C454&gt;statistics_analysis!$C$15,"high outlier","normal"))</f>
        <v>normal</v>
      </c>
    </row>
    <row r="456">
      <c r="A456" s="13" t="s">
        <v>448</v>
      </c>
      <c r="B456" s="14">
        <v>11.0</v>
      </c>
      <c r="C456" s="14">
        <v>0.8</v>
      </c>
      <c r="D456" s="14">
        <v>78.1</v>
      </c>
      <c r="E456" s="23" t="str">
        <f t="array" ref="E456">IF(C455&lt;statistics_analysis!$C$14,"low outlier",IF(C455&gt;statistics_analysis!$C$15,"high outlier","normal"))</f>
        <v>normal</v>
      </c>
    </row>
    <row r="457">
      <c r="A457" s="13" t="s">
        <v>449</v>
      </c>
      <c r="B457" s="14">
        <v>7.0</v>
      </c>
      <c r="C457" s="14">
        <v>4.38</v>
      </c>
      <c r="D457" s="14">
        <v>130.2</v>
      </c>
      <c r="E457" s="23" t="str">
        <f t="array" ref="E457">IF(C456&lt;statistics_analysis!$C$14,"low outlier",IF(C456&gt;statistics_analysis!$C$15,"high outlier","normal"))</f>
        <v>normal</v>
      </c>
    </row>
    <row r="458">
      <c r="A458" s="13" t="s">
        <v>450</v>
      </c>
      <c r="B458" s="14">
        <v>7.0</v>
      </c>
      <c r="C458" s="14">
        <v>8.0</v>
      </c>
      <c r="D458" s="14">
        <v>156.1</v>
      </c>
      <c r="E458" s="23" t="str">
        <f t="array" ref="E458">IF(C457&lt;statistics_analysis!$C$14,"low outlier",IF(C457&gt;statistics_analysis!$C$15,"high outlier","normal"))</f>
        <v>normal</v>
      </c>
    </row>
    <row r="459">
      <c r="A459" s="13" t="s">
        <v>451</v>
      </c>
      <c r="B459" s="14">
        <v>4.0</v>
      </c>
      <c r="C459" s="14">
        <v>5.16</v>
      </c>
      <c r="D459" s="14">
        <v>101.3</v>
      </c>
      <c r="E459" s="23" t="str">
        <f t="array" ref="E459">IF(C458&lt;statistics_analysis!$C$14,"low outlier",IF(C458&gt;statistics_analysis!$C$15,"high outlier","normal"))</f>
        <v>normal</v>
      </c>
    </row>
    <row r="460">
      <c r="A460" s="13" t="s">
        <v>452</v>
      </c>
      <c r="B460" s="14">
        <v>1.0</v>
      </c>
      <c r="C460" s="14">
        <v>17.94</v>
      </c>
      <c r="D460" s="14">
        <v>71.4</v>
      </c>
      <c r="E460" s="23" t="str">
        <f t="array" ref="E460">IF(C459&lt;statistics_analysis!$C$14,"low outlier",IF(C459&gt;statistics_analysis!$C$15,"high outlier","normal"))</f>
        <v>normal</v>
      </c>
    </row>
    <row r="461">
      <c r="A461" s="13" t="s">
        <v>453</v>
      </c>
      <c r="B461" s="14">
        <v>4.0</v>
      </c>
      <c r="C461" s="14">
        <v>16.86</v>
      </c>
      <c r="D461" s="14">
        <v>133.0</v>
      </c>
      <c r="E461" s="23" t="str">
        <f t="array" ref="E461">IF(C460&lt;statistics_analysis!$C$14,"low outlier",IF(C460&gt;statistics_analysis!$C$15,"high outlier","normal"))</f>
        <v>normal</v>
      </c>
    </row>
    <row r="462">
      <c r="A462" s="13" t="s">
        <v>454</v>
      </c>
      <c r="B462" s="14">
        <v>5.0</v>
      </c>
      <c r="C462" s="14">
        <v>9.46</v>
      </c>
      <c r="D462" s="14">
        <v>138.4</v>
      </c>
      <c r="E462" s="23" t="str">
        <f t="array" ref="E462">IF(C461&lt;statistics_analysis!$C$14,"low outlier",IF(C461&gt;statistics_analysis!$C$15,"high outlier","normal"))</f>
        <v>normal</v>
      </c>
    </row>
    <row r="463">
      <c r="A463" s="13" t="s">
        <v>455</v>
      </c>
      <c r="B463" s="14">
        <v>4.0</v>
      </c>
      <c r="C463" s="14">
        <v>4.68</v>
      </c>
      <c r="D463" s="14">
        <v>173.4</v>
      </c>
      <c r="E463" s="23" t="str">
        <f t="array" ref="E463">IF(C462&lt;statistics_analysis!$C$14,"low outlier",IF(C462&gt;statistics_analysis!$C$15,"high outlier","normal"))</f>
        <v>normal</v>
      </c>
    </row>
    <row r="464">
      <c r="A464" s="13" t="s">
        <v>456</v>
      </c>
      <c r="B464" s="14">
        <v>4.0</v>
      </c>
      <c r="C464" s="14">
        <v>2.95</v>
      </c>
      <c r="D464" s="14">
        <v>139.7</v>
      </c>
      <c r="E464" s="23" t="str">
        <f t="array" ref="E464">IF(C463&lt;statistics_analysis!$C$14,"low outlier",IF(C463&gt;statistics_analysis!$C$15,"high outlier","normal"))</f>
        <v>normal</v>
      </c>
    </row>
    <row r="465">
      <c r="A465" s="13" t="s">
        <v>457</v>
      </c>
      <c r="B465" s="14">
        <v>7.0</v>
      </c>
      <c r="C465" s="14">
        <v>1.12</v>
      </c>
      <c r="D465" s="14">
        <v>144.8</v>
      </c>
      <c r="E465" s="23" t="str">
        <f t="array" ref="E465">IF(C464&lt;statistics_analysis!$C$14,"low outlier",IF(C464&gt;statistics_analysis!$C$15,"high outlier","normal"))</f>
        <v>normal</v>
      </c>
    </row>
    <row r="466">
      <c r="A466" s="13" t="s">
        <v>458</v>
      </c>
      <c r="B466" s="14">
        <v>6.0</v>
      </c>
      <c r="C466" s="14">
        <v>4.38</v>
      </c>
      <c r="D466" s="14">
        <v>112.1</v>
      </c>
      <c r="E466" s="23" t="str">
        <f t="array" ref="E466">IF(C465&lt;statistics_analysis!$C$14,"low outlier",IF(C465&gt;statistics_analysis!$C$15,"high outlier","normal"))</f>
        <v>normal</v>
      </c>
    </row>
    <row r="467">
      <c r="A467" s="13" t="s">
        <v>459</v>
      </c>
      <c r="B467" s="14">
        <v>8.0</v>
      </c>
      <c r="C467" s="14">
        <v>5.33</v>
      </c>
      <c r="D467" s="14">
        <v>193.2</v>
      </c>
      <c r="E467" s="23" t="str">
        <f t="array" ref="E467">IF(C466&lt;statistics_analysis!$C$14,"low outlier",IF(C466&gt;statistics_analysis!$C$15,"high outlier","normal"))</f>
        <v>normal</v>
      </c>
    </row>
    <row r="468">
      <c r="A468" s="13" t="s">
        <v>460</v>
      </c>
      <c r="B468" s="14">
        <v>4.0</v>
      </c>
      <c r="C468" s="14">
        <v>11.26</v>
      </c>
      <c r="D468" s="14">
        <v>108.1</v>
      </c>
      <c r="E468" s="23" t="str">
        <f t="array" ref="E468">IF(C467&lt;statistics_analysis!$C$14,"low outlier",IF(C467&gt;statistics_analysis!$C$15,"high outlier","normal"))</f>
        <v>normal</v>
      </c>
    </row>
    <row r="469">
      <c r="A469" s="13" t="s">
        <v>461</v>
      </c>
      <c r="B469" s="14">
        <v>3.0</v>
      </c>
      <c r="C469" s="14">
        <v>10.73</v>
      </c>
      <c r="D469" s="14">
        <v>101.6</v>
      </c>
      <c r="E469" s="23" t="str">
        <f t="array" ref="E469">IF(C468&lt;statistics_analysis!$C$14,"low outlier",IF(C468&gt;statistics_analysis!$C$15,"high outlier","normal"))</f>
        <v>normal</v>
      </c>
    </row>
    <row r="470">
      <c r="A470" s="13" t="s">
        <v>462</v>
      </c>
      <c r="B470" s="14">
        <v>0.0</v>
      </c>
      <c r="C470" s="14">
        <v>0.73</v>
      </c>
      <c r="D470" s="14">
        <v>174.3</v>
      </c>
      <c r="E470" s="23" t="str">
        <f t="array" ref="E470">IF(C469&lt;statistics_analysis!$C$14,"low outlier",IF(C469&gt;statistics_analysis!$C$15,"high outlier","normal"))</f>
        <v>normal</v>
      </c>
    </row>
    <row r="471">
      <c r="A471" s="13" t="s">
        <v>463</v>
      </c>
      <c r="B471" s="14">
        <v>4.0</v>
      </c>
      <c r="C471" s="14">
        <v>5.03</v>
      </c>
      <c r="D471" s="14">
        <v>75.8</v>
      </c>
      <c r="E471" s="23" t="str">
        <f t="array" ref="E471">IF(C470&lt;statistics_analysis!$C$14,"low outlier",IF(C470&gt;statistics_analysis!$C$15,"high outlier","normal"))</f>
        <v>normal</v>
      </c>
    </row>
    <row r="472">
      <c r="A472" s="13" t="s">
        <v>464</v>
      </c>
      <c r="B472" s="14">
        <v>1.0</v>
      </c>
      <c r="C472" s="14">
        <v>2.01</v>
      </c>
      <c r="D472" s="14">
        <v>64.6</v>
      </c>
      <c r="E472" s="23" t="str">
        <f t="array" ref="E472">IF(C471&lt;statistics_analysis!$C$14,"low outlier",IF(C471&gt;statistics_analysis!$C$15,"high outlier","normal"))</f>
        <v>normal</v>
      </c>
    </row>
    <row r="473">
      <c r="A473" s="13" t="s">
        <v>465</v>
      </c>
      <c r="B473" s="14">
        <v>4.0</v>
      </c>
      <c r="C473" s="14">
        <v>1.71</v>
      </c>
      <c r="D473" s="14">
        <v>123.6</v>
      </c>
      <c r="E473" s="23" t="str">
        <f t="array" ref="E473">IF(C472&lt;statistics_analysis!$C$14,"low outlier",IF(C472&gt;statistics_analysis!$C$15,"high outlier","normal"))</f>
        <v>normal</v>
      </c>
    </row>
    <row r="474">
      <c r="A474" s="13" t="s">
        <v>466</v>
      </c>
      <c r="B474" s="14">
        <v>3.0</v>
      </c>
      <c r="C474" s="14">
        <v>17.56</v>
      </c>
      <c r="D474" s="14">
        <v>119.9</v>
      </c>
      <c r="E474" s="23" t="str">
        <f t="array" ref="E474">IF(C473&lt;statistics_analysis!$C$14,"low outlier",IF(C473&gt;statistics_analysis!$C$15,"high outlier","normal"))</f>
        <v>normal</v>
      </c>
    </row>
    <row r="475">
      <c r="A475" s="13" t="s">
        <v>467</v>
      </c>
      <c r="B475" s="14">
        <v>5.0</v>
      </c>
      <c r="C475" s="14">
        <v>0.43</v>
      </c>
      <c r="D475" s="14">
        <v>113.2</v>
      </c>
      <c r="E475" s="23" t="str">
        <f t="array" ref="E475">IF(C474&lt;statistics_analysis!$C$14,"low outlier",IF(C474&gt;statistics_analysis!$C$15,"high outlier","normal"))</f>
        <v>normal</v>
      </c>
    </row>
    <row r="476">
      <c r="A476" s="13" t="s">
        <v>468</v>
      </c>
      <c r="B476" s="14">
        <v>6.0</v>
      </c>
      <c r="C476" s="14">
        <v>5.43</v>
      </c>
      <c r="D476" s="14">
        <v>149.8</v>
      </c>
      <c r="E476" s="23" t="str">
        <f t="array" ref="E476">IF(C475&lt;statistics_analysis!$C$14,"low outlier",IF(C475&gt;statistics_analysis!$C$15,"high outlier","normal"))</f>
        <v>normal</v>
      </c>
    </row>
    <row r="477">
      <c r="A477" s="13" t="s">
        <v>469</v>
      </c>
      <c r="B477" s="14">
        <v>6.0</v>
      </c>
      <c r="C477" s="14">
        <v>1.84</v>
      </c>
      <c r="D477" s="14">
        <v>92.8</v>
      </c>
      <c r="E477" s="23" t="str">
        <f t="array" ref="E477">IF(C476&lt;statistics_analysis!$C$14,"low outlier",IF(C476&gt;statistics_analysis!$C$15,"high outlier","normal"))</f>
        <v>normal</v>
      </c>
    </row>
    <row r="478">
      <c r="A478" s="13" t="s">
        <v>470</v>
      </c>
      <c r="B478" s="14">
        <v>4.0</v>
      </c>
      <c r="C478" s="14">
        <v>21.15</v>
      </c>
      <c r="D478" s="14">
        <v>121.9</v>
      </c>
      <c r="E478" s="23" t="str">
        <f t="array" ref="E478">IF(C477&lt;statistics_analysis!$C$14,"low outlier",IF(C477&gt;statistics_analysis!$C$15,"high outlier","normal"))</f>
        <v>normal</v>
      </c>
    </row>
    <row r="479">
      <c r="A479" s="13" t="s">
        <v>471</v>
      </c>
      <c r="B479" s="14">
        <v>4.0</v>
      </c>
      <c r="C479" s="14">
        <v>8.14</v>
      </c>
      <c r="D479" s="14">
        <v>109.2</v>
      </c>
      <c r="E479" s="23" t="str">
        <f t="array" ref="E479">IF(C478&lt;statistics_analysis!$C$14,"low outlier",IF(C478&gt;statistics_analysis!$C$15,"high outlier","normal"))</f>
        <v>normal</v>
      </c>
    </row>
    <row r="480">
      <c r="A480" s="13" t="s">
        <v>472</v>
      </c>
      <c r="B480" s="14">
        <v>5.0</v>
      </c>
      <c r="C480" s="14">
        <v>2.63</v>
      </c>
      <c r="D480" s="14">
        <v>93.3</v>
      </c>
      <c r="E480" s="23" t="str">
        <f t="array" ref="E480">IF(C479&lt;statistics_analysis!$C$14,"low outlier",IF(C479&gt;statistics_analysis!$C$15,"high outlier","normal"))</f>
        <v>normal</v>
      </c>
    </row>
    <row r="481">
      <c r="A481" s="13" t="s">
        <v>473</v>
      </c>
      <c r="B481" s="14">
        <v>1.0</v>
      </c>
      <c r="C481" s="14">
        <v>6.98</v>
      </c>
      <c r="D481" s="14">
        <v>118.1</v>
      </c>
      <c r="E481" s="23" t="str">
        <f t="array" ref="E481">IF(C480&lt;statistics_analysis!$C$14,"low outlier",IF(C480&gt;statistics_analysis!$C$15,"high outlier","normal"))</f>
        <v>normal</v>
      </c>
    </row>
    <row r="482">
      <c r="A482" s="13" t="s">
        <v>474</v>
      </c>
      <c r="B482" s="14">
        <v>9.0</v>
      </c>
      <c r="C482" s="14">
        <v>13.15</v>
      </c>
      <c r="D482" s="14">
        <v>145.6</v>
      </c>
      <c r="E482" s="23" t="str">
        <f t="array" ref="E482">IF(C481&lt;statistics_analysis!$C$14,"low outlier",IF(C481&gt;statistics_analysis!$C$15,"high outlier","normal"))</f>
        <v>normal</v>
      </c>
    </row>
    <row r="483">
      <c r="A483" s="13" t="s">
        <v>475</v>
      </c>
      <c r="B483" s="14">
        <v>7.0</v>
      </c>
      <c r="C483" s="14">
        <v>31.73</v>
      </c>
      <c r="D483" s="14">
        <v>183.6</v>
      </c>
      <c r="E483" s="23" t="str">
        <f t="array" ref="E483">IF(C482&lt;statistics_analysis!$C$14,"low outlier",IF(C482&gt;statistics_analysis!$C$15,"high outlier","normal"))</f>
        <v>normal</v>
      </c>
    </row>
    <row r="484">
      <c r="A484" s="13" t="s">
        <v>476</v>
      </c>
      <c r="B484" s="14">
        <v>5.0</v>
      </c>
      <c r="C484" s="14">
        <v>2.49</v>
      </c>
      <c r="D484" s="14">
        <v>137.4</v>
      </c>
      <c r="E484" s="23" t="str">
        <f t="array" ref="E484">IF(C483&lt;statistics_analysis!$C$14,"low outlier",IF(C483&gt;statistics_analysis!$C$15,"high outlier","normal"))</f>
        <v>high outlier</v>
      </c>
    </row>
    <row r="485">
      <c r="A485" s="13" t="s">
        <v>477</v>
      </c>
      <c r="B485" s="14">
        <v>4.0</v>
      </c>
      <c r="C485" s="14">
        <v>21.73</v>
      </c>
      <c r="D485" s="14">
        <v>44.7</v>
      </c>
      <c r="E485" s="23" t="str">
        <f t="array" ref="E485">IF(C484&lt;statistics_analysis!$C$14,"low outlier",IF(C484&gt;statistics_analysis!$C$15,"high outlier","normal"))</f>
        <v>normal</v>
      </c>
    </row>
    <row r="486">
      <c r="A486" s="13" t="s">
        <v>478</v>
      </c>
      <c r="B486" s="14">
        <v>5.0</v>
      </c>
      <c r="C486" s="14">
        <v>27.23</v>
      </c>
      <c r="D486" s="14">
        <v>118.9</v>
      </c>
      <c r="E486" s="23" t="str">
        <f t="array" ref="E486">IF(C485&lt;statistics_analysis!$C$14,"low outlier",IF(C485&gt;statistics_analysis!$C$15,"high outlier","normal"))</f>
        <v>normal</v>
      </c>
    </row>
    <row r="487">
      <c r="A487" s="13" t="s">
        <v>479</v>
      </c>
      <c r="B487" s="14">
        <v>4.0</v>
      </c>
      <c r="C487" s="14">
        <v>24.82</v>
      </c>
      <c r="D487" s="14">
        <v>121.5</v>
      </c>
      <c r="E487" s="23" t="str">
        <f t="array" ref="E487">IF(C486&lt;statistics_analysis!$C$14,"low outlier",IF(C486&gt;statistics_analysis!$C$15,"high outlier","normal"))</f>
        <v>normal</v>
      </c>
    </row>
    <row r="488">
      <c r="A488" s="13" t="s">
        <v>480</v>
      </c>
      <c r="B488" s="14">
        <v>1.0</v>
      </c>
      <c r="C488" s="14">
        <v>10.09</v>
      </c>
      <c r="D488" s="14">
        <v>148.1</v>
      </c>
      <c r="E488" s="23" t="str">
        <f t="array" ref="E488">IF(C487&lt;statistics_analysis!$C$14,"low outlier",IF(C487&gt;statistics_analysis!$C$15,"high outlier","normal"))</f>
        <v>normal</v>
      </c>
    </row>
    <row r="489">
      <c r="A489" s="13" t="s">
        <v>481</v>
      </c>
      <c r="B489" s="14">
        <v>3.0</v>
      </c>
      <c r="C489" s="14">
        <v>9.94</v>
      </c>
      <c r="D489" s="14">
        <v>125.5</v>
      </c>
      <c r="E489" s="23" t="str">
        <f t="array" ref="E489">IF(C488&lt;statistics_analysis!$C$14,"low outlier",IF(C488&gt;statistics_analysis!$C$15,"high outlier","normal"))</f>
        <v>normal</v>
      </c>
    </row>
    <row r="490">
      <c r="A490" s="13" t="s">
        <v>482</v>
      </c>
      <c r="B490" s="14">
        <v>7.0</v>
      </c>
      <c r="C490" s="14">
        <v>5.16</v>
      </c>
      <c r="D490" s="14">
        <v>157.6</v>
      </c>
      <c r="E490" s="23" t="str">
        <f t="array" ref="E490">IF(C489&lt;statistics_analysis!$C$14,"low outlier",IF(C489&gt;statistics_analysis!$C$15,"high outlier","normal"))</f>
        <v>normal</v>
      </c>
    </row>
    <row r="491">
      <c r="A491" s="13" t="s">
        <v>483</v>
      </c>
      <c r="B491" s="14">
        <v>6.0</v>
      </c>
      <c r="C491" s="14">
        <v>13.96</v>
      </c>
      <c r="D491" s="14">
        <v>131.8</v>
      </c>
      <c r="E491" s="23" t="str">
        <f t="array" ref="E491">IF(C490&lt;statistics_analysis!$C$14,"low outlier",IF(C490&gt;statistics_analysis!$C$15,"high outlier","normal"))</f>
        <v>normal</v>
      </c>
    </row>
    <row r="492">
      <c r="A492" s="13">
        <v>3.5000267E7</v>
      </c>
      <c r="B492" s="14">
        <v>10.0</v>
      </c>
      <c r="C492" s="14">
        <v>7.58</v>
      </c>
      <c r="D492" s="14">
        <v>166.8</v>
      </c>
      <c r="E492" s="23" t="str">
        <f t="array" ref="E492">IF(C491&lt;statistics_analysis!$C$14,"low outlier",IF(C491&gt;statistics_analysis!$C$15,"high outlier","normal"))</f>
        <v>normal</v>
      </c>
    </row>
    <row r="493">
      <c r="A493" s="13" t="s">
        <v>484</v>
      </c>
      <c r="B493" s="14">
        <v>4.0</v>
      </c>
      <c r="C493" s="14">
        <v>11.31</v>
      </c>
      <c r="D493" s="14">
        <v>106.8</v>
      </c>
      <c r="E493" s="23" t="str">
        <f t="array" ref="E493">IF(C492&lt;statistics_analysis!$C$14,"low outlier",IF(C492&gt;statistics_analysis!$C$15,"high outlier","normal"))</f>
        <v>normal</v>
      </c>
    </row>
    <row r="494">
      <c r="A494" s="13" t="s">
        <v>485</v>
      </c>
      <c r="B494" s="14">
        <v>5.0</v>
      </c>
      <c r="C494" s="14">
        <v>5.59</v>
      </c>
      <c r="D494" s="14">
        <v>124.3</v>
      </c>
      <c r="E494" s="23" t="str">
        <f t="array" ref="E494">IF(C493&lt;statistics_analysis!$C$14,"low outlier",IF(C493&gt;statistics_analysis!$C$15,"high outlier","normal"))</f>
        <v>normal</v>
      </c>
    </row>
    <row r="495">
      <c r="A495" s="13" t="s">
        <v>486</v>
      </c>
      <c r="B495" s="14">
        <v>6.0</v>
      </c>
      <c r="C495" s="14">
        <v>13.15</v>
      </c>
      <c r="D495" s="14">
        <v>144.8</v>
      </c>
      <c r="E495" s="23" t="str">
        <f t="array" ref="E495">IF(C494&lt;statistics_analysis!$C$14,"low outlier",IF(C494&gt;statistics_analysis!$C$15,"high outlier","normal"))</f>
        <v>normal</v>
      </c>
    </row>
    <row r="496">
      <c r="A496" s="13" t="s">
        <v>487</v>
      </c>
      <c r="B496" s="14">
        <v>6.0</v>
      </c>
      <c r="C496" s="14">
        <v>17.4</v>
      </c>
      <c r="D496" s="14">
        <v>102.8</v>
      </c>
      <c r="E496" s="23" t="str">
        <f t="array" ref="E496">IF(C495&lt;statistics_analysis!$C$14,"low outlier",IF(C495&gt;statistics_analysis!$C$15,"high outlier","normal"))</f>
        <v>normal</v>
      </c>
    </row>
    <row r="497">
      <c r="A497" s="13" t="s">
        <v>488</v>
      </c>
      <c r="B497" s="14">
        <v>8.0</v>
      </c>
      <c r="C497" s="14">
        <v>1.58</v>
      </c>
      <c r="D497" s="14">
        <v>96.3</v>
      </c>
      <c r="E497" s="23" t="str">
        <f t="array" ref="E497">IF(C496&lt;statistics_analysis!$C$14,"low outlier",IF(C496&gt;statistics_analysis!$C$15,"high outlier","normal"))</f>
        <v>normal</v>
      </c>
    </row>
    <row r="498">
      <c r="A498" s="13" t="s">
        <v>489</v>
      </c>
      <c r="B498" s="14">
        <v>4.0</v>
      </c>
      <c r="C498" s="14">
        <v>17.89</v>
      </c>
      <c r="D498" s="14">
        <v>101.1</v>
      </c>
      <c r="E498" s="23" t="str">
        <f t="array" ref="E498">IF(C497&lt;statistics_analysis!$C$14,"low outlier",IF(C497&gt;statistics_analysis!$C$15,"high outlier","normal"))</f>
        <v>normal</v>
      </c>
    </row>
    <row r="499">
      <c r="A499" s="13" t="s">
        <v>490</v>
      </c>
      <c r="B499" s="14">
        <v>3.0</v>
      </c>
      <c r="C499" s="14">
        <v>7.77</v>
      </c>
      <c r="D499" s="14">
        <v>97.5</v>
      </c>
      <c r="E499" s="23" t="str">
        <f t="array" ref="E499">IF(C498&lt;statistics_analysis!$C$14,"low outlier",IF(C498&gt;statistics_analysis!$C$15,"high outlier","normal"))</f>
        <v>normal</v>
      </c>
    </row>
    <row r="500">
      <c r="A500" s="13" t="s">
        <v>491</v>
      </c>
      <c r="B500" s="14">
        <v>3.0</v>
      </c>
      <c r="C500" s="14">
        <v>18.62</v>
      </c>
      <c r="D500" s="14">
        <v>135.7</v>
      </c>
      <c r="E500" s="23" t="str">
        <f t="array" ref="E500">IF(C499&lt;statistics_analysis!$C$14,"low outlier",IF(C499&gt;statistics_analysis!$C$15,"high outlier","normal"))</f>
        <v>normal</v>
      </c>
    </row>
    <row r="501">
      <c r="A501" s="13" t="s">
        <v>492</v>
      </c>
      <c r="B501" s="25">
        <v>9.0</v>
      </c>
      <c r="C501" s="25">
        <v>5.64</v>
      </c>
      <c r="D501" s="25">
        <v>65.0</v>
      </c>
      <c r="E501" s="23" t="str">
        <f t="array" ref="E501">IF(C500&lt;statistics_analysis!$C$14,"low outlier",IF(C500&gt;statistics_analysis!$C$15,"high outlier","normal"))</f>
        <v>normal</v>
      </c>
    </row>
    <row r="502">
      <c r="A502" s="26"/>
      <c r="B502" s="27"/>
      <c r="C502" s="28"/>
      <c r="D502" s="28"/>
      <c r="E502" s="47"/>
    </row>
    <row r="503">
      <c r="A503" s="26"/>
      <c r="B503" s="27"/>
      <c r="C503" s="28"/>
      <c r="D503" s="28"/>
      <c r="E503" s="47"/>
    </row>
    <row r="504">
      <c r="A504" s="26"/>
      <c r="B504" s="27"/>
      <c r="C504" s="28"/>
      <c r="D504" s="28"/>
      <c r="E504" s="47"/>
    </row>
    <row r="505">
      <c r="A505" s="26"/>
      <c r="B505" s="27"/>
      <c r="C505" s="28"/>
      <c r="D505" s="28"/>
      <c r="E505" s="47"/>
    </row>
    <row r="506">
      <c r="A506" s="26"/>
      <c r="B506" s="27"/>
      <c r="C506" s="28"/>
      <c r="D506" s="28"/>
      <c r="E506" s="47"/>
    </row>
    <row r="507">
      <c r="A507" s="26"/>
      <c r="B507" s="27"/>
      <c r="C507" s="28"/>
      <c r="D507" s="28"/>
      <c r="E507" s="47"/>
    </row>
    <row r="508">
      <c r="A508" s="26"/>
      <c r="B508" s="27"/>
      <c r="C508" s="28"/>
      <c r="D508" s="28"/>
      <c r="E508" s="47"/>
    </row>
    <row r="509">
      <c r="A509" s="26"/>
      <c r="B509" s="27"/>
      <c r="C509" s="28"/>
      <c r="D509" s="28"/>
      <c r="E509" s="47"/>
    </row>
    <row r="510">
      <c r="A510" s="26"/>
      <c r="B510" s="27"/>
      <c r="C510" s="28"/>
      <c r="D510" s="28"/>
      <c r="E510" s="47"/>
    </row>
    <row r="511">
      <c r="A511" s="26"/>
      <c r="B511" s="27"/>
      <c r="C511" s="28"/>
      <c r="D511" s="28"/>
      <c r="E511" s="47"/>
    </row>
    <row r="512">
      <c r="A512" s="26"/>
      <c r="B512" s="27"/>
      <c r="C512" s="28"/>
      <c r="D512" s="28"/>
      <c r="E512" s="47"/>
    </row>
    <row r="513">
      <c r="A513" s="26"/>
      <c r="B513" s="27"/>
      <c r="C513" s="28"/>
      <c r="D513" s="28"/>
      <c r="E513" s="47"/>
    </row>
    <row r="514">
      <c r="A514" s="26"/>
      <c r="B514" s="27"/>
      <c r="C514" s="28"/>
      <c r="D514" s="28"/>
      <c r="E514" s="47"/>
    </row>
    <row r="515">
      <c r="A515" s="26"/>
      <c r="B515" s="27"/>
      <c r="C515" s="28"/>
      <c r="D515" s="28"/>
      <c r="E515" s="47"/>
    </row>
    <row r="516">
      <c r="A516" s="26"/>
      <c r="B516" s="27"/>
      <c r="C516" s="28"/>
      <c r="D516" s="28"/>
      <c r="E516" s="47"/>
    </row>
    <row r="517">
      <c r="A517" s="26"/>
      <c r="B517" s="27"/>
      <c r="C517" s="28"/>
      <c r="D517" s="28"/>
      <c r="E517" s="47"/>
    </row>
    <row r="518">
      <c r="A518" s="26"/>
      <c r="B518" s="27"/>
      <c r="C518" s="28"/>
      <c r="D518" s="28"/>
      <c r="E518" s="47"/>
    </row>
    <row r="519">
      <c r="A519" s="26"/>
      <c r="B519" s="27"/>
      <c r="C519" s="28"/>
      <c r="D519" s="28"/>
      <c r="E519" s="47"/>
    </row>
    <row r="520">
      <c r="A520" s="26"/>
      <c r="B520" s="27"/>
      <c r="C520" s="28"/>
      <c r="D520" s="28"/>
      <c r="E520" s="47"/>
    </row>
    <row r="521">
      <c r="A521" s="26"/>
      <c r="B521" s="27"/>
      <c r="C521" s="28"/>
      <c r="D521" s="28"/>
      <c r="E521" s="47"/>
    </row>
    <row r="522">
      <c r="A522" s="26"/>
      <c r="B522" s="27"/>
      <c r="C522" s="28"/>
      <c r="D522" s="28"/>
      <c r="E522" s="47"/>
    </row>
    <row r="523">
      <c r="A523" s="26"/>
      <c r="B523" s="27"/>
      <c r="C523" s="28"/>
      <c r="D523" s="28"/>
      <c r="E523" s="47"/>
    </row>
    <row r="524">
      <c r="A524" s="26"/>
      <c r="B524" s="27"/>
      <c r="C524" s="28"/>
      <c r="D524" s="28"/>
      <c r="E524" s="47"/>
    </row>
    <row r="525">
      <c r="A525" s="26"/>
      <c r="B525" s="27"/>
      <c r="C525" s="28"/>
      <c r="D525" s="28"/>
      <c r="E525" s="47"/>
    </row>
    <row r="526">
      <c r="A526" s="26"/>
      <c r="B526" s="27"/>
      <c r="C526" s="28"/>
      <c r="D526" s="28"/>
      <c r="E526" s="47"/>
    </row>
    <row r="527">
      <c r="A527" s="26"/>
      <c r="B527" s="27"/>
      <c r="C527" s="28"/>
      <c r="D527" s="28"/>
      <c r="E527" s="47"/>
    </row>
    <row r="528">
      <c r="A528" s="26"/>
      <c r="B528" s="27"/>
      <c r="C528" s="28"/>
      <c r="D528" s="28"/>
      <c r="E528" s="47"/>
    </row>
    <row r="529">
      <c r="A529" s="26"/>
      <c r="B529" s="27"/>
      <c r="C529" s="28"/>
      <c r="D529" s="28"/>
      <c r="E529" s="47"/>
    </row>
    <row r="530">
      <c r="A530" s="26"/>
      <c r="B530" s="27"/>
      <c r="C530" s="28"/>
      <c r="D530" s="28"/>
      <c r="E530" s="47"/>
    </row>
    <row r="531">
      <c r="A531" s="26"/>
      <c r="B531" s="27"/>
      <c r="C531" s="28"/>
      <c r="D531" s="28"/>
      <c r="E531" s="47"/>
    </row>
    <row r="532">
      <c r="A532" s="26"/>
      <c r="B532" s="27"/>
      <c r="C532" s="28"/>
      <c r="D532" s="28"/>
      <c r="E532" s="47"/>
    </row>
    <row r="533">
      <c r="A533" s="26"/>
      <c r="B533" s="27"/>
      <c r="C533" s="28"/>
      <c r="D533" s="28"/>
      <c r="E533" s="47"/>
    </row>
    <row r="534">
      <c r="A534" s="26"/>
      <c r="B534" s="27"/>
      <c r="C534" s="28"/>
      <c r="D534" s="28"/>
      <c r="E534" s="47"/>
    </row>
    <row r="535">
      <c r="A535" s="26"/>
      <c r="B535" s="27"/>
      <c r="C535" s="28"/>
      <c r="D535" s="28"/>
      <c r="E535" s="47"/>
    </row>
    <row r="536">
      <c r="A536" s="26"/>
      <c r="B536" s="27"/>
      <c r="C536" s="28"/>
      <c r="D536" s="28"/>
      <c r="E536" s="47"/>
    </row>
    <row r="537">
      <c r="A537" s="26"/>
      <c r="B537" s="27"/>
      <c r="C537" s="28"/>
      <c r="D537" s="28"/>
      <c r="E537" s="47"/>
    </row>
    <row r="538">
      <c r="A538" s="26"/>
      <c r="B538" s="27"/>
      <c r="C538" s="28"/>
      <c r="D538" s="28"/>
      <c r="E538" s="47"/>
    </row>
    <row r="539">
      <c r="A539" s="26"/>
      <c r="B539" s="27"/>
      <c r="C539" s="28"/>
      <c r="D539" s="28"/>
      <c r="E539" s="47"/>
    </row>
    <row r="540">
      <c r="A540" s="26"/>
      <c r="B540" s="27"/>
      <c r="C540" s="28"/>
      <c r="D540" s="28"/>
      <c r="E540" s="47"/>
    </row>
    <row r="541">
      <c r="A541" s="26"/>
      <c r="B541" s="27"/>
      <c r="C541" s="28"/>
      <c r="D541" s="28"/>
      <c r="E541" s="47"/>
    </row>
    <row r="542">
      <c r="A542" s="26"/>
      <c r="B542" s="27"/>
      <c r="C542" s="28"/>
      <c r="D542" s="28"/>
      <c r="E542" s="47"/>
    </row>
    <row r="543">
      <c r="A543" s="26"/>
      <c r="B543" s="27"/>
      <c r="C543" s="28"/>
      <c r="D543" s="28"/>
      <c r="E543" s="47"/>
    </row>
    <row r="544">
      <c r="A544" s="26"/>
      <c r="B544" s="27"/>
      <c r="C544" s="28"/>
      <c r="D544" s="28"/>
      <c r="E544" s="47"/>
    </row>
    <row r="545">
      <c r="A545" s="26"/>
      <c r="B545" s="27"/>
      <c r="C545" s="28"/>
      <c r="D545" s="28"/>
      <c r="E545" s="47"/>
    </row>
    <row r="546">
      <c r="A546" s="26"/>
      <c r="B546" s="27"/>
      <c r="C546" s="28"/>
      <c r="D546" s="28"/>
      <c r="E546" s="47"/>
    </row>
    <row r="547">
      <c r="A547" s="26"/>
      <c r="B547" s="27"/>
      <c r="C547" s="28"/>
      <c r="D547" s="28"/>
      <c r="E547" s="47"/>
    </row>
    <row r="548">
      <c r="A548" s="26"/>
      <c r="B548" s="27"/>
      <c r="C548" s="28"/>
      <c r="D548" s="28"/>
      <c r="E548" s="47"/>
    </row>
    <row r="549">
      <c r="A549" s="26"/>
      <c r="B549" s="27"/>
      <c r="C549" s="28"/>
      <c r="D549" s="28"/>
      <c r="E549" s="47"/>
    </row>
    <row r="550">
      <c r="A550" s="26"/>
      <c r="B550" s="27"/>
      <c r="C550" s="28"/>
      <c r="D550" s="28"/>
      <c r="E550" s="47"/>
    </row>
    <row r="551">
      <c r="A551" s="26"/>
      <c r="B551" s="27"/>
      <c r="C551" s="28"/>
      <c r="D551" s="28"/>
      <c r="E551" s="47"/>
    </row>
    <row r="552">
      <c r="A552" s="26"/>
      <c r="B552" s="27"/>
      <c r="C552" s="28"/>
      <c r="D552" s="28"/>
      <c r="E552" s="47"/>
    </row>
    <row r="553">
      <c r="A553" s="26"/>
      <c r="B553" s="27"/>
      <c r="C553" s="28"/>
      <c r="D553" s="28"/>
      <c r="E553" s="47"/>
    </row>
    <row r="554">
      <c r="A554" s="26"/>
      <c r="B554" s="27"/>
      <c r="C554" s="28"/>
      <c r="D554" s="28"/>
      <c r="E554" s="47"/>
    </row>
    <row r="555">
      <c r="A555" s="26"/>
      <c r="B555" s="27"/>
      <c r="C555" s="28"/>
      <c r="D555" s="28"/>
      <c r="E555" s="47"/>
    </row>
    <row r="556">
      <c r="A556" s="26"/>
      <c r="B556" s="27"/>
      <c r="C556" s="28"/>
      <c r="D556" s="28"/>
      <c r="E556" s="47"/>
    </row>
    <row r="557">
      <c r="A557" s="26"/>
      <c r="B557" s="27"/>
      <c r="C557" s="28"/>
      <c r="D557" s="28"/>
      <c r="E557" s="47"/>
    </row>
    <row r="558">
      <c r="A558" s="26"/>
      <c r="B558" s="27"/>
      <c r="C558" s="28"/>
      <c r="D558" s="28"/>
      <c r="E558" s="47"/>
    </row>
    <row r="559">
      <c r="A559" s="26"/>
      <c r="B559" s="27"/>
      <c r="C559" s="28"/>
      <c r="D559" s="28"/>
      <c r="E559" s="47"/>
    </row>
    <row r="560">
      <c r="A560" s="26"/>
      <c r="B560" s="27"/>
      <c r="C560" s="28"/>
      <c r="D560" s="28"/>
      <c r="E560" s="47"/>
    </row>
    <row r="561">
      <c r="A561" s="26"/>
      <c r="B561" s="27"/>
      <c r="C561" s="28"/>
      <c r="D561" s="28"/>
      <c r="E561" s="47"/>
    </row>
    <row r="562">
      <c r="A562" s="26"/>
      <c r="B562" s="27"/>
      <c r="C562" s="28"/>
      <c r="D562" s="28"/>
      <c r="E562" s="47"/>
    </row>
    <row r="563">
      <c r="A563" s="26"/>
      <c r="B563" s="27"/>
      <c r="C563" s="28"/>
      <c r="D563" s="28"/>
      <c r="E563" s="47"/>
    </row>
    <row r="564">
      <c r="A564" s="26"/>
      <c r="B564" s="27"/>
      <c r="C564" s="28"/>
      <c r="D564" s="28"/>
      <c r="E564" s="47"/>
    </row>
    <row r="565">
      <c r="A565" s="26"/>
      <c r="B565" s="27"/>
      <c r="C565" s="28"/>
      <c r="D565" s="28"/>
      <c r="E565" s="47"/>
    </row>
    <row r="566">
      <c r="A566" s="26"/>
      <c r="B566" s="27"/>
      <c r="C566" s="28"/>
      <c r="D566" s="28"/>
      <c r="E566" s="47"/>
    </row>
    <row r="567">
      <c r="A567" s="26"/>
      <c r="B567" s="27"/>
      <c r="C567" s="28"/>
      <c r="D567" s="28"/>
      <c r="E567" s="47"/>
    </row>
    <row r="568">
      <c r="A568" s="26"/>
      <c r="B568" s="27"/>
      <c r="C568" s="28"/>
      <c r="D568" s="28"/>
      <c r="E568" s="47"/>
    </row>
    <row r="569">
      <c r="A569" s="26"/>
      <c r="B569" s="27"/>
      <c r="C569" s="28"/>
      <c r="D569" s="28"/>
      <c r="E569" s="47"/>
    </row>
    <row r="570">
      <c r="A570" s="26"/>
      <c r="B570" s="27"/>
      <c r="C570" s="28"/>
      <c r="D570" s="28"/>
      <c r="E570" s="47"/>
    </row>
    <row r="571">
      <c r="A571" s="26"/>
      <c r="B571" s="27"/>
      <c r="C571" s="28"/>
      <c r="D571" s="28"/>
      <c r="E571" s="47"/>
    </row>
    <row r="572">
      <c r="A572" s="26"/>
      <c r="B572" s="27"/>
      <c r="C572" s="28"/>
      <c r="D572" s="28"/>
      <c r="E572" s="47"/>
    </row>
    <row r="573">
      <c r="A573" s="26"/>
      <c r="B573" s="27"/>
      <c r="C573" s="28"/>
      <c r="D573" s="28"/>
      <c r="E573" s="47"/>
    </row>
    <row r="574">
      <c r="A574" s="26"/>
      <c r="B574" s="27"/>
      <c r="C574" s="28"/>
      <c r="D574" s="28"/>
      <c r="E574" s="47"/>
    </row>
    <row r="575">
      <c r="A575" s="26"/>
      <c r="B575" s="27"/>
      <c r="C575" s="28"/>
      <c r="D575" s="28"/>
      <c r="E575" s="47"/>
    </row>
    <row r="576">
      <c r="A576" s="26"/>
      <c r="B576" s="27"/>
      <c r="C576" s="28"/>
      <c r="D576" s="28"/>
      <c r="E576" s="47"/>
    </row>
    <row r="577">
      <c r="A577" s="26"/>
      <c r="B577" s="27"/>
      <c r="C577" s="28"/>
      <c r="D577" s="28"/>
      <c r="E577" s="47"/>
    </row>
    <row r="578">
      <c r="A578" s="26"/>
      <c r="B578" s="27"/>
      <c r="C578" s="28"/>
      <c r="D578" s="28"/>
      <c r="E578" s="47"/>
    </row>
    <row r="579">
      <c r="A579" s="26"/>
      <c r="B579" s="27"/>
      <c r="C579" s="28"/>
      <c r="D579" s="28"/>
      <c r="E579" s="47"/>
    </row>
    <row r="580">
      <c r="A580" s="26"/>
      <c r="B580" s="27"/>
      <c r="C580" s="28"/>
      <c r="D580" s="28"/>
      <c r="E580" s="47"/>
    </row>
    <row r="581">
      <c r="A581" s="26"/>
      <c r="B581" s="27"/>
      <c r="C581" s="28"/>
      <c r="D581" s="28"/>
      <c r="E581" s="47"/>
    </row>
    <row r="582">
      <c r="A582" s="26"/>
      <c r="B582" s="27"/>
      <c r="C582" s="28"/>
      <c r="D582" s="28"/>
      <c r="E582" s="47"/>
    </row>
    <row r="583">
      <c r="A583" s="26"/>
      <c r="B583" s="27"/>
      <c r="C583" s="28"/>
      <c r="D583" s="28"/>
      <c r="E583" s="47"/>
    </row>
    <row r="584">
      <c r="A584" s="26"/>
      <c r="B584" s="27"/>
      <c r="C584" s="28"/>
      <c r="D584" s="28"/>
      <c r="E584" s="47"/>
    </row>
    <row r="585">
      <c r="A585" s="26"/>
      <c r="B585" s="27"/>
      <c r="C585" s="28"/>
      <c r="D585" s="28"/>
      <c r="E585" s="47"/>
    </row>
    <row r="586">
      <c r="A586" s="26"/>
      <c r="B586" s="27"/>
      <c r="C586" s="28"/>
      <c r="D586" s="28"/>
      <c r="E586" s="47"/>
    </row>
    <row r="587">
      <c r="A587" s="26"/>
      <c r="B587" s="27"/>
      <c r="C587" s="28"/>
      <c r="D587" s="28"/>
      <c r="E587" s="47"/>
    </row>
    <row r="588">
      <c r="A588" s="26"/>
      <c r="B588" s="27"/>
      <c r="C588" s="28"/>
      <c r="D588" s="28"/>
      <c r="E588" s="47"/>
    </row>
    <row r="589">
      <c r="A589" s="26"/>
      <c r="B589" s="27"/>
      <c r="C589" s="28"/>
      <c r="D589" s="28"/>
      <c r="E589" s="47"/>
    </row>
    <row r="590">
      <c r="A590" s="26"/>
      <c r="B590" s="27"/>
      <c r="C590" s="28"/>
      <c r="D590" s="28"/>
      <c r="E590" s="47"/>
    </row>
    <row r="591">
      <c r="A591" s="26"/>
      <c r="B591" s="27"/>
      <c r="C591" s="28"/>
      <c r="D591" s="28"/>
      <c r="E591" s="47"/>
    </row>
    <row r="592">
      <c r="A592" s="26"/>
      <c r="B592" s="27"/>
      <c r="C592" s="28"/>
      <c r="D592" s="28"/>
      <c r="E592" s="47"/>
    </row>
    <row r="593">
      <c r="A593" s="26"/>
      <c r="B593" s="27"/>
      <c r="C593" s="28"/>
      <c r="D593" s="28"/>
      <c r="E593" s="47"/>
    </row>
    <row r="594">
      <c r="A594" s="26"/>
      <c r="B594" s="27"/>
      <c r="C594" s="28"/>
      <c r="D594" s="28"/>
      <c r="E594" s="47"/>
    </row>
    <row r="595">
      <c r="A595" s="26"/>
      <c r="B595" s="27"/>
      <c r="C595" s="28"/>
      <c r="D595" s="28"/>
      <c r="E595" s="47"/>
    </row>
    <row r="596">
      <c r="A596" s="26"/>
      <c r="B596" s="27"/>
      <c r="C596" s="28"/>
      <c r="D596" s="28"/>
      <c r="E596" s="47"/>
    </row>
    <row r="597">
      <c r="A597" s="26"/>
      <c r="B597" s="27"/>
      <c r="C597" s="28"/>
      <c r="D597" s="28"/>
      <c r="E597" s="47"/>
    </row>
    <row r="598">
      <c r="A598" s="26"/>
      <c r="B598" s="27"/>
      <c r="C598" s="28"/>
      <c r="D598" s="28"/>
      <c r="E598" s="47"/>
    </row>
    <row r="599">
      <c r="A599" s="26"/>
      <c r="B599" s="27"/>
      <c r="C599" s="28"/>
      <c r="D599" s="28"/>
      <c r="E599" s="47"/>
    </row>
    <row r="600">
      <c r="A600" s="26"/>
      <c r="B600" s="27"/>
      <c r="C600" s="28"/>
      <c r="D600" s="28"/>
      <c r="E600" s="47"/>
    </row>
    <row r="601">
      <c r="A601" s="26"/>
      <c r="B601" s="27"/>
      <c r="C601" s="28"/>
      <c r="D601" s="28"/>
      <c r="E601" s="47"/>
    </row>
    <row r="602">
      <c r="A602" s="26"/>
      <c r="B602" s="27"/>
      <c r="C602" s="28"/>
      <c r="D602" s="28"/>
      <c r="E602" s="47"/>
    </row>
    <row r="603">
      <c r="A603" s="26"/>
      <c r="B603" s="27"/>
      <c r="C603" s="28"/>
      <c r="D603" s="28"/>
      <c r="E603" s="47"/>
    </row>
    <row r="604">
      <c r="A604" s="26"/>
      <c r="B604" s="27"/>
      <c r="C604" s="28"/>
      <c r="D604" s="28"/>
      <c r="E604" s="47"/>
    </row>
    <row r="605">
      <c r="A605" s="26"/>
      <c r="B605" s="27"/>
      <c r="C605" s="28"/>
      <c r="D605" s="28"/>
      <c r="E605" s="47"/>
    </row>
    <row r="606">
      <c r="A606" s="26"/>
      <c r="B606" s="27"/>
      <c r="C606" s="28"/>
      <c r="D606" s="28"/>
      <c r="E606" s="47"/>
    </row>
    <row r="607">
      <c r="A607" s="26"/>
      <c r="B607" s="27"/>
      <c r="C607" s="28"/>
      <c r="D607" s="28"/>
      <c r="E607" s="47"/>
    </row>
    <row r="608">
      <c r="A608" s="26"/>
      <c r="B608" s="27"/>
      <c r="C608" s="28"/>
      <c r="D608" s="28"/>
      <c r="E608" s="47"/>
    </row>
    <row r="609">
      <c r="A609" s="26"/>
      <c r="B609" s="27"/>
      <c r="C609" s="28"/>
      <c r="D609" s="28"/>
      <c r="E609" s="47"/>
    </row>
    <row r="610">
      <c r="A610" s="26"/>
      <c r="B610" s="27"/>
      <c r="C610" s="28"/>
      <c r="D610" s="28"/>
      <c r="E610" s="47"/>
    </row>
    <row r="611">
      <c r="A611" s="26"/>
      <c r="B611" s="27"/>
      <c r="C611" s="28"/>
      <c r="D611" s="28"/>
      <c r="E611" s="47"/>
    </row>
    <row r="612">
      <c r="A612" s="26"/>
      <c r="B612" s="27"/>
      <c r="C612" s="28"/>
      <c r="D612" s="28"/>
      <c r="E612" s="47"/>
    </row>
    <row r="613">
      <c r="A613" s="26"/>
      <c r="B613" s="27"/>
      <c r="C613" s="28"/>
      <c r="D613" s="28"/>
      <c r="E613" s="47"/>
    </row>
    <row r="614">
      <c r="A614" s="26"/>
      <c r="B614" s="27"/>
      <c r="C614" s="28"/>
      <c r="D614" s="28"/>
      <c r="E614" s="47"/>
    </row>
    <row r="615">
      <c r="A615" s="26"/>
      <c r="B615" s="27"/>
      <c r="C615" s="28"/>
      <c r="D615" s="28"/>
      <c r="E615" s="47"/>
    </row>
    <row r="616">
      <c r="A616" s="26"/>
      <c r="B616" s="27"/>
      <c r="C616" s="28"/>
      <c r="D616" s="28"/>
      <c r="E616" s="47"/>
    </row>
    <row r="617">
      <c r="A617" s="26"/>
      <c r="B617" s="27"/>
      <c r="C617" s="28"/>
      <c r="D617" s="28"/>
      <c r="E617" s="47"/>
    </row>
    <row r="618">
      <c r="A618" s="26"/>
      <c r="B618" s="27"/>
      <c r="C618" s="28"/>
      <c r="D618" s="28"/>
      <c r="E618" s="47"/>
    </row>
    <row r="619">
      <c r="A619" s="26"/>
      <c r="B619" s="27"/>
      <c r="C619" s="28"/>
      <c r="D619" s="28"/>
      <c r="E619" s="47"/>
    </row>
    <row r="620">
      <c r="A620" s="26"/>
      <c r="B620" s="27"/>
      <c r="C620" s="28"/>
      <c r="D620" s="28"/>
      <c r="E620" s="47"/>
    </row>
    <row r="621">
      <c r="A621" s="26"/>
      <c r="B621" s="27"/>
      <c r="C621" s="28"/>
      <c r="D621" s="28"/>
      <c r="E621" s="47"/>
    </row>
    <row r="622">
      <c r="A622" s="26"/>
      <c r="B622" s="27"/>
      <c r="C622" s="28"/>
      <c r="D622" s="28"/>
      <c r="E622" s="47"/>
    </row>
    <row r="623">
      <c r="A623" s="26"/>
      <c r="B623" s="27"/>
      <c r="C623" s="28"/>
      <c r="D623" s="28"/>
      <c r="E623" s="47"/>
    </row>
    <row r="624">
      <c r="A624" s="26"/>
      <c r="B624" s="27"/>
      <c r="C624" s="28"/>
      <c r="D624" s="28"/>
      <c r="E624" s="47"/>
    </row>
    <row r="625">
      <c r="A625" s="26"/>
      <c r="B625" s="27"/>
      <c r="C625" s="28"/>
      <c r="D625" s="28"/>
      <c r="E625" s="47"/>
    </row>
    <row r="626">
      <c r="A626" s="26"/>
      <c r="B626" s="27"/>
      <c r="C626" s="28"/>
      <c r="D626" s="28"/>
      <c r="E626" s="47"/>
    </row>
    <row r="627">
      <c r="A627" s="26"/>
      <c r="B627" s="27"/>
      <c r="C627" s="28"/>
      <c r="D627" s="28"/>
      <c r="E627" s="47"/>
    </row>
    <row r="628">
      <c r="A628" s="26"/>
      <c r="B628" s="27"/>
      <c r="C628" s="28"/>
      <c r="D628" s="28"/>
      <c r="E628" s="47"/>
    </row>
    <row r="629">
      <c r="A629" s="26"/>
      <c r="B629" s="27"/>
      <c r="C629" s="28"/>
      <c r="D629" s="28"/>
      <c r="E629" s="47"/>
    </row>
    <row r="630">
      <c r="A630" s="26"/>
      <c r="B630" s="27"/>
      <c r="C630" s="28"/>
      <c r="D630" s="28"/>
      <c r="E630" s="47"/>
    </row>
    <row r="631">
      <c r="A631" s="26"/>
      <c r="B631" s="27"/>
      <c r="C631" s="28"/>
      <c r="D631" s="28"/>
      <c r="E631" s="47"/>
    </row>
    <row r="632">
      <c r="A632" s="26"/>
      <c r="B632" s="27"/>
      <c r="C632" s="28"/>
      <c r="D632" s="28"/>
      <c r="E632" s="47"/>
    </row>
    <row r="633">
      <c r="A633" s="26"/>
      <c r="B633" s="27"/>
      <c r="C633" s="28"/>
      <c r="D633" s="28"/>
      <c r="E633" s="47"/>
    </row>
    <row r="634">
      <c r="A634" s="26"/>
      <c r="B634" s="27"/>
      <c r="C634" s="28"/>
      <c r="D634" s="28"/>
      <c r="E634" s="47"/>
    </row>
    <row r="635">
      <c r="A635" s="26"/>
      <c r="B635" s="27"/>
      <c r="C635" s="28"/>
      <c r="D635" s="28"/>
      <c r="E635" s="47"/>
    </row>
    <row r="636">
      <c r="A636" s="26"/>
      <c r="B636" s="27"/>
      <c r="C636" s="28"/>
      <c r="D636" s="28"/>
      <c r="E636" s="47"/>
    </row>
    <row r="637">
      <c r="A637" s="26"/>
      <c r="B637" s="27"/>
      <c r="C637" s="28"/>
      <c r="D637" s="28"/>
      <c r="E637" s="47"/>
    </row>
    <row r="638">
      <c r="A638" s="26"/>
      <c r="B638" s="27"/>
      <c r="C638" s="28"/>
      <c r="D638" s="28"/>
      <c r="E638" s="47"/>
    </row>
    <row r="639">
      <c r="A639" s="26"/>
      <c r="B639" s="27"/>
      <c r="C639" s="28"/>
      <c r="D639" s="28"/>
      <c r="E639" s="47"/>
    </row>
    <row r="640">
      <c r="A640" s="26"/>
      <c r="B640" s="27"/>
      <c r="C640" s="28"/>
      <c r="D640" s="28"/>
      <c r="E640" s="47"/>
    </row>
    <row r="641">
      <c r="A641" s="26"/>
      <c r="B641" s="27"/>
      <c r="C641" s="28"/>
      <c r="D641" s="28"/>
      <c r="E641" s="47"/>
    </row>
    <row r="642">
      <c r="A642" s="26"/>
      <c r="B642" s="27"/>
      <c r="C642" s="28"/>
      <c r="D642" s="28"/>
      <c r="E642" s="47"/>
    </row>
    <row r="643">
      <c r="A643" s="26"/>
      <c r="B643" s="27"/>
      <c r="C643" s="28"/>
      <c r="D643" s="28"/>
      <c r="E643" s="47"/>
    </row>
    <row r="644">
      <c r="A644" s="26"/>
      <c r="B644" s="27"/>
      <c r="C644" s="28"/>
      <c r="D644" s="28"/>
      <c r="E644" s="47"/>
    </row>
    <row r="645">
      <c r="A645" s="26"/>
      <c r="B645" s="27"/>
      <c r="C645" s="28"/>
      <c r="D645" s="28"/>
      <c r="E645" s="47"/>
    </row>
    <row r="646">
      <c r="A646" s="26"/>
      <c r="B646" s="27"/>
      <c r="C646" s="28"/>
      <c r="D646" s="28"/>
      <c r="E646" s="47"/>
    </row>
    <row r="647">
      <c r="A647" s="26"/>
      <c r="B647" s="27"/>
      <c r="C647" s="28"/>
      <c r="D647" s="28"/>
      <c r="E647" s="47"/>
    </row>
    <row r="648">
      <c r="A648" s="26"/>
      <c r="B648" s="27"/>
      <c r="C648" s="28"/>
      <c r="D648" s="28"/>
      <c r="E648" s="47"/>
    </row>
    <row r="649">
      <c r="A649" s="26"/>
      <c r="B649" s="27"/>
      <c r="C649" s="28"/>
      <c r="D649" s="28"/>
      <c r="E649" s="47"/>
    </row>
    <row r="650">
      <c r="A650" s="26"/>
      <c r="B650" s="27"/>
      <c r="C650" s="28"/>
      <c r="D650" s="28"/>
      <c r="E650" s="47"/>
    </row>
    <row r="651">
      <c r="A651" s="26"/>
      <c r="B651" s="27"/>
      <c r="C651" s="28"/>
      <c r="D651" s="28"/>
      <c r="E651" s="47"/>
    </row>
    <row r="652">
      <c r="A652" s="26"/>
      <c r="B652" s="27"/>
      <c r="C652" s="28"/>
      <c r="D652" s="28"/>
      <c r="E652" s="47"/>
    </row>
    <row r="653">
      <c r="A653" s="26"/>
      <c r="B653" s="27"/>
      <c r="C653" s="28"/>
      <c r="D653" s="28"/>
      <c r="E653" s="47"/>
    </row>
    <row r="654">
      <c r="A654" s="26"/>
      <c r="B654" s="27"/>
      <c r="C654" s="28"/>
      <c r="D654" s="28"/>
      <c r="E654" s="47"/>
    </row>
    <row r="655">
      <c r="A655" s="26"/>
      <c r="B655" s="27"/>
      <c r="C655" s="28"/>
      <c r="D655" s="28"/>
      <c r="E655" s="47"/>
    </row>
    <row r="656">
      <c r="A656" s="26"/>
      <c r="B656" s="27"/>
      <c r="C656" s="28"/>
      <c r="D656" s="28"/>
      <c r="E656" s="47"/>
    </row>
    <row r="657">
      <c r="A657" s="26"/>
      <c r="B657" s="27"/>
      <c r="C657" s="28"/>
      <c r="D657" s="28"/>
      <c r="E657" s="47"/>
    </row>
    <row r="658">
      <c r="A658" s="26"/>
      <c r="B658" s="27"/>
      <c r="C658" s="28"/>
      <c r="D658" s="28"/>
      <c r="E658" s="47"/>
    </row>
    <row r="659">
      <c r="A659" s="26"/>
      <c r="B659" s="27"/>
      <c r="C659" s="28"/>
      <c r="D659" s="28"/>
      <c r="E659" s="47"/>
    </row>
    <row r="660">
      <c r="A660" s="26"/>
      <c r="B660" s="27"/>
      <c r="C660" s="28"/>
      <c r="D660" s="28"/>
      <c r="E660" s="47"/>
    </row>
    <row r="661">
      <c r="A661" s="26"/>
      <c r="B661" s="27"/>
      <c r="C661" s="28"/>
      <c r="D661" s="28"/>
      <c r="E661" s="47"/>
    </row>
    <row r="662">
      <c r="A662" s="26"/>
      <c r="B662" s="27"/>
      <c r="C662" s="28"/>
      <c r="D662" s="28"/>
      <c r="E662" s="47"/>
    </row>
    <row r="663">
      <c r="A663" s="26"/>
      <c r="B663" s="27"/>
      <c r="C663" s="28"/>
      <c r="D663" s="28"/>
      <c r="E663" s="47"/>
    </row>
    <row r="664">
      <c r="A664" s="26"/>
      <c r="B664" s="27"/>
      <c r="C664" s="28"/>
      <c r="D664" s="28"/>
      <c r="E664" s="47"/>
    </row>
    <row r="665">
      <c r="A665" s="26"/>
      <c r="B665" s="27"/>
      <c r="C665" s="28"/>
      <c r="D665" s="28"/>
      <c r="E665" s="47"/>
    </row>
    <row r="666">
      <c r="A666" s="26"/>
      <c r="B666" s="27"/>
      <c r="C666" s="28"/>
      <c r="D666" s="28"/>
      <c r="E666" s="47"/>
    </row>
    <row r="667">
      <c r="A667" s="26"/>
      <c r="B667" s="27"/>
      <c r="C667" s="28"/>
      <c r="D667" s="28"/>
      <c r="E667" s="47"/>
    </row>
    <row r="668">
      <c r="A668" s="26"/>
      <c r="B668" s="27"/>
      <c r="C668" s="28"/>
      <c r="D668" s="28"/>
      <c r="E668" s="47"/>
    </row>
    <row r="669">
      <c r="A669" s="26"/>
      <c r="B669" s="27"/>
      <c r="C669" s="28"/>
      <c r="D669" s="28"/>
      <c r="E669" s="47"/>
    </row>
    <row r="670">
      <c r="A670" s="26"/>
      <c r="B670" s="27"/>
      <c r="C670" s="28"/>
      <c r="D670" s="28"/>
      <c r="E670" s="47"/>
    </row>
    <row r="671">
      <c r="A671" s="26"/>
      <c r="B671" s="27"/>
      <c r="C671" s="28"/>
      <c r="D671" s="28"/>
      <c r="E671" s="47"/>
    </row>
    <row r="672">
      <c r="A672" s="26"/>
      <c r="B672" s="27"/>
      <c r="C672" s="28"/>
      <c r="D672" s="28"/>
      <c r="E672" s="47"/>
    </row>
    <row r="673">
      <c r="A673" s="26"/>
      <c r="B673" s="27"/>
      <c r="C673" s="28"/>
      <c r="D673" s="28"/>
      <c r="E673" s="47"/>
    </row>
    <row r="674">
      <c r="A674" s="26"/>
      <c r="B674" s="27"/>
      <c r="C674" s="28"/>
      <c r="D674" s="28"/>
      <c r="E674" s="47"/>
    </row>
    <row r="675">
      <c r="A675" s="26"/>
      <c r="B675" s="27"/>
      <c r="C675" s="28"/>
      <c r="D675" s="28"/>
      <c r="E675" s="47"/>
    </row>
    <row r="676">
      <c r="A676" s="26"/>
      <c r="B676" s="27"/>
      <c r="C676" s="28"/>
      <c r="D676" s="28"/>
      <c r="E676" s="47"/>
    </row>
    <row r="677">
      <c r="A677" s="26"/>
      <c r="B677" s="27"/>
      <c r="C677" s="28"/>
      <c r="D677" s="28"/>
      <c r="E677" s="47"/>
    </row>
    <row r="678">
      <c r="A678" s="26"/>
      <c r="B678" s="27"/>
      <c r="C678" s="28"/>
      <c r="D678" s="28"/>
      <c r="E678" s="47"/>
    </row>
    <row r="679">
      <c r="A679" s="26"/>
      <c r="B679" s="27"/>
      <c r="C679" s="28"/>
      <c r="D679" s="28"/>
      <c r="E679" s="47"/>
    </row>
    <row r="680">
      <c r="A680" s="26"/>
      <c r="B680" s="27"/>
      <c r="C680" s="28"/>
      <c r="D680" s="28"/>
      <c r="E680" s="47"/>
    </row>
    <row r="681">
      <c r="A681" s="26"/>
      <c r="B681" s="27"/>
      <c r="C681" s="28"/>
      <c r="D681" s="28"/>
      <c r="E681" s="47"/>
    </row>
    <row r="682">
      <c r="A682" s="26"/>
      <c r="B682" s="27"/>
      <c r="C682" s="28"/>
      <c r="D682" s="28"/>
      <c r="E682" s="47"/>
    </row>
    <row r="683">
      <c r="A683" s="26"/>
      <c r="B683" s="27"/>
      <c r="C683" s="28"/>
      <c r="D683" s="28"/>
      <c r="E683" s="47"/>
    </row>
    <row r="684">
      <c r="A684" s="26"/>
      <c r="B684" s="27"/>
      <c r="C684" s="28"/>
      <c r="D684" s="28"/>
      <c r="E684" s="47"/>
    </row>
    <row r="685">
      <c r="A685" s="26"/>
      <c r="B685" s="27"/>
      <c r="C685" s="28"/>
      <c r="D685" s="28"/>
      <c r="E685" s="47"/>
    </row>
    <row r="686">
      <c r="A686" s="26"/>
      <c r="B686" s="27"/>
      <c r="C686" s="28"/>
      <c r="D686" s="28"/>
      <c r="E686" s="47"/>
    </row>
    <row r="687">
      <c r="A687" s="26"/>
      <c r="B687" s="27"/>
      <c r="C687" s="28"/>
      <c r="D687" s="28"/>
      <c r="E687" s="47"/>
    </row>
    <row r="688">
      <c r="A688" s="26"/>
      <c r="B688" s="27"/>
      <c r="C688" s="28"/>
      <c r="D688" s="28"/>
      <c r="E688" s="47"/>
    </row>
    <row r="689">
      <c r="A689" s="26"/>
      <c r="B689" s="27"/>
      <c r="C689" s="28"/>
      <c r="D689" s="28"/>
      <c r="E689" s="47"/>
    </row>
    <row r="690">
      <c r="A690" s="26"/>
      <c r="B690" s="27"/>
      <c r="C690" s="28"/>
      <c r="D690" s="28"/>
      <c r="E690" s="47"/>
    </row>
    <row r="691">
      <c r="A691" s="26"/>
      <c r="B691" s="27"/>
      <c r="C691" s="28"/>
      <c r="D691" s="28"/>
      <c r="E691" s="47"/>
    </row>
    <row r="692">
      <c r="A692" s="26"/>
      <c r="B692" s="27"/>
      <c r="C692" s="28"/>
      <c r="D692" s="28"/>
      <c r="E692" s="47"/>
    </row>
    <row r="693">
      <c r="A693" s="26"/>
      <c r="B693" s="27"/>
      <c r="C693" s="28"/>
      <c r="D693" s="28"/>
      <c r="E693" s="47"/>
    </row>
    <row r="694">
      <c r="A694" s="26"/>
      <c r="B694" s="27"/>
      <c r="C694" s="28"/>
      <c r="D694" s="28"/>
      <c r="E694" s="47"/>
    </row>
    <row r="695">
      <c r="A695" s="26"/>
      <c r="B695" s="27"/>
      <c r="C695" s="28"/>
      <c r="D695" s="28"/>
      <c r="E695" s="47"/>
    </row>
    <row r="696">
      <c r="A696" s="26"/>
      <c r="B696" s="27"/>
      <c r="C696" s="28"/>
      <c r="D696" s="28"/>
      <c r="E696" s="47"/>
    </row>
    <row r="697">
      <c r="A697" s="26"/>
      <c r="B697" s="27"/>
      <c r="C697" s="28"/>
      <c r="D697" s="28"/>
      <c r="E697" s="47"/>
    </row>
    <row r="698">
      <c r="A698" s="26"/>
      <c r="B698" s="27"/>
      <c r="C698" s="28"/>
      <c r="D698" s="28"/>
      <c r="E698" s="47"/>
    </row>
    <row r="699">
      <c r="A699" s="26"/>
      <c r="B699" s="27"/>
      <c r="C699" s="28"/>
      <c r="D699" s="28"/>
      <c r="E699" s="47"/>
    </row>
    <row r="700">
      <c r="A700" s="26"/>
      <c r="B700" s="27"/>
      <c r="C700" s="28"/>
      <c r="D700" s="28"/>
      <c r="E700" s="47"/>
    </row>
    <row r="701">
      <c r="A701" s="26"/>
      <c r="B701" s="27"/>
      <c r="C701" s="28"/>
      <c r="D701" s="28"/>
      <c r="E701" s="47"/>
    </row>
    <row r="702">
      <c r="A702" s="26"/>
      <c r="B702" s="27"/>
      <c r="C702" s="28"/>
      <c r="D702" s="28"/>
      <c r="E702" s="47"/>
    </row>
    <row r="703">
      <c r="A703" s="26"/>
      <c r="B703" s="27"/>
      <c r="C703" s="28"/>
      <c r="D703" s="28"/>
      <c r="E703" s="47"/>
    </row>
    <row r="704">
      <c r="A704" s="26"/>
      <c r="B704" s="27"/>
      <c r="C704" s="28"/>
      <c r="D704" s="28"/>
      <c r="E704" s="47"/>
    </row>
    <row r="705">
      <c r="A705" s="26"/>
      <c r="B705" s="27"/>
      <c r="C705" s="28"/>
      <c r="D705" s="28"/>
      <c r="E705" s="47"/>
    </row>
    <row r="706">
      <c r="A706" s="26"/>
      <c r="B706" s="27"/>
      <c r="C706" s="28"/>
      <c r="D706" s="28"/>
      <c r="E706" s="47"/>
    </row>
    <row r="707">
      <c r="A707" s="26"/>
      <c r="B707" s="27"/>
      <c r="C707" s="28"/>
      <c r="D707" s="28"/>
      <c r="E707" s="47"/>
    </row>
    <row r="708">
      <c r="A708" s="26"/>
      <c r="B708" s="27"/>
      <c r="C708" s="28"/>
      <c r="D708" s="28"/>
      <c r="E708" s="47"/>
    </row>
    <row r="709">
      <c r="A709" s="26"/>
      <c r="B709" s="27"/>
      <c r="C709" s="28"/>
      <c r="D709" s="28"/>
      <c r="E709" s="47"/>
    </row>
    <row r="710">
      <c r="A710" s="26"/>
      <c r="B710" s="27"/>
      <c r="C710" s="28"/>
      <c r="D710" s="28"/>
      <c r="E710" s="47"/>
    </row>
    <row r="711">
      <c r="A711" s="26"/>
      <c r="B711" s="27"/>
      <c r="C711" s="28"/>
      <c r="D711" s="28"/>
      <c r="E711" s="47"/>
    </row>
    <row r="712">
      <c r="A712" s="26"/>
      <c r="B712" s="27"/>
      <c r="C712" s="28"/>
      <c r="D712" s="28"/>
      <c r="E712" s="47"/>
    </row>
    <row r="713">
      <c r="A713" s="26"/>
      <c r="B713" s="27"/>
      <c r="C713" s="28"/>
      <c r="D713" s="28"/>
      <c r="E713" s="47"/>
    </row>
    <row r="714">
      <c r="A714" s="26"/>
      <c r="B714" s="27"/>
      <c r="C714" s="28"/>
      <c r="D714" s="28"/>
      <c r="E714" s="47"/>
    </row>
    <row r="715">
      <c r="A715" s="26"/>
      <c r="B715" s="27"/>
      <c r="C715" s="28"/>
      <c r="D715" s="28"/>
      <c r="E715" s="47"/>
    </row>
    <row r="716">
      <c r="A716" s="26"/>
      <c r="B716" s="27"/>
      <c r="C716" s="28"/>
      <c r="D716" s="28"/>
      <c r="E716" s="47"/>
    </row>
    <row r="717">
      <c r="A717" s="26"/>
      <c r="B717" s="27"/>
      <c r="C717" s="28"/>
      <c r="D717" s="28"/>
      <c r="E717" s="47"/>
    </row>
    <row r="718">
      <c r="A718" s="26"/>
      <c r="B718" s="27"/>
      <c r="C718" s="28"/>
      <c r="D718" s="28"/>
      <c r="E718" s="47"/>
    </row>
    <row r="719">
      <c r="A719" s="26"/>
      <c r="B719" s="27"/>
      <c r="C719" s="28"/>
      <c r="D719" s="28"/>
      <c r="E719" s="47"/>
    </row>
    <row r="720">
      <c r="A720" s="26"/>
      <c r="B720" s="27"/>
      <c r="C720" s="28"/>
      <c r="D720" s="28"/>
      <c r="E720" s="47"/>
    </row>
    <row r="721">
      <c r="A721" s="26"/>
      <c r="B721" s="27"/>
      <c r="C721" s="28"/>
      <c r="D721" s="28"/>
      <c r="E721" s="47"/>
    </row>
    <row r="722">
      <c r="A722" s="26"/>
      <c r="B722" s="27"/>
      <c r="C722" s="28"/>
      <c r="D722" s="28"/>
      <c r="E722" s="47"/>
    </row>
    <row r="723">
      <c r="A723" s="26"/>
      <c r="B723" s="27"/>
      <c r="C723" s="28"/>
      <c r="D723" s="28"/>
      <c r="E723" s="47"/>
    </row>
    <row r="724">
      <c r="A724" s="26"/>
      <c r="B724" s="27"/>
      <c r="C724" s="28"/>
      <c r="D724" s="28"/>
      <c r="E724" s="47"/>
    </row>
    <row r="725">
      <c r="A725" s="26"/>
      <c r="B725" s="27"/>
      <c r="C725" s="28"/>
      <c r="D725" s="28"/>
      <c r="E725" s="47"/>
    </row>
    <row r="726">
      <c r="A726" s="26"/>
      <c r="B726" s="27"/>
      <c r="C726" s="28"/>
      <c r="D726" s="28"/>
      <c r="E726" s="47"/>
    </row>
    <row r="727">
      <c r="A727" s="26"/>
      <c r="B727" s="27"/>
      <c r="C727" s="28"/>
      <c r="D727" s="28"/>
      <c r="E727" s="47"/>
    </row>
    <row r="728">
      <c r="A728" s="26"/>
      <c r="B728" s="27"/>
      <c r="C728" s="28"/>
      <c r="D728" s="28"/>
      <c r="E728" s="47"/>
    </row>
    <row r="729">
      <c r="A729" s="26"/>
      <c r="B729" s="27"/>
      <c r="C729" s="28"/>
      <c r="D729" s="28"/>
      <c r="E729" s="47"/>
    </row>
    <row r="730">
      <c r="A730" s="26"/>
      <c r="B730" s="27"/>
      <c r="C730" s="28"/>
      <c r="D730" s="28"/>
      <c r="E730" s="47"/>
    </row>
    <row r="731">
      <c r="A731" s="26"/>
      <c r="B731" s="27"/>
      <c r="C731" s="28"/>
      <c r="D731" s="28"/>
      <c r="E731" s="47"/>
    </row>
    <row r="732">
      <c r="A732" s="26"/>
      <c r="B732" s="27"/>
      <c r="C732" s="28"/>
      <c r="D732" s="28"/>
      <c r="E732" s="47"/>
    </row>
    <row r="733">
      <c r="A733" s="26"/>
      <c r="B733" s="27"/>
      <c r="C733" s="28"/>
      <c r="D733" s="28"/>
      <c r="E733" s="47"/>
    </row>
    <row r="734">
      <c r="A734" s="26"/>
      <c r="B734" s="27"/>
      <c r="C734" s="28"/>
      <c r="D734" s="28"/>
      <c r="E734" s="47"/>
    </row>
    <row r="735">
      <c r="A735" s="26"/>
      <c r="B735" s="27"/>
      <c r="C735" s="28"/>
      <c r="D735" s="28"/>
      <c r="E735" s="47"/>
    </row>
    <row r="736">
      <c r="A736" s="26"/>
      <c r="B736" s="27"/>
      <c r="C736" s="28"/>
      <c r="D736" s="28"/>
      <c r="E736" s="47"/>
    </row>
    <row r="737">
      <c r="A737" s="26"/>
      <c r="B737" s="27"/>
      <c r="C737" s="28"/>
      <c r="D737" s="28"/>
      <c r="E737" s="47"/>
    </row>
    <row r="738">
      <c r="A738" s="26"/>
      <c r="B738" s="27"/>
      <c r="C738" s="28"/>
      <c r="D738" s="28"/>
      <c r="E738" s="47"/>
    </row>
    <row r="739">
      <c r="A739" s="26"/>
      <c r="B739" s="27"/>
      <c r="C739" s="28"/>
      <c r="D739" s="28"/>
      <c r="E739" s="47"/>
    </row>
    <row r="740">
      <c r="A740" s="26"/>
      <c r="B740" s="27"/>
      <c r="C740" s="28"/>
      <c r="D740" s="28"/>
      <c r="E740" s="47"/>
    </row>
    <row r="741">
      <c r="A741" s="26"/>
      <c r="B741" s="27"/>
      <c r="C741" s="28"/>
      <c r="D741" s="28"/>
      <c r="E741" s="47"/>
    </row>
    <row r="742">
      <c r="A742" s="26"/>
      <c r="B742" s="27"/>
      <c r="C742" s="28"/>
      <c r="D742" s="28"/>
      <c r="E742" s="47"/>
    </row>
    <row r="743">
      <c r="A743" s="26"/>
      <c r="B743" s="27"/>
      <c r="C743" s="28"/>
      <c r="D743" s="28"/>
      <c r="E743" s="47"/>
    </row>
    <row r="744">
      <c r="A744" s="26"/>
      <c r="B744" s="27"/>
      <c r="C744" s="28"/>
      <c r="D744" s="28"/>
      <c r="E744" s="47"/>
    </row>
    <row r="745">
      <c r="A745" s="26"/>
      <c r="B745" s="27"/>
      <c r="C745" s="28"/>
      <c r="D745" s="28"/>
      <c r="E745" s="47"/>
    </row>
    <row r="746">
      <c r="A746" s="26"/>
      <c r="B746" s="27"/>
      <c r="C746" s="28"/>
      <c r="D746" s="28"/>
      <c r="E746" s="47"/>
    </row>
    <row r="747">
      <c r="A747" s="26"/>
      <c r="B747" s="27"/>
      <c r="C747" s="28"/>
      <c r="D747" s="28"/>
      <c r="E747" s="47"/>
    </row>
    <row r="748">
      <c r="A748" s="26"/>
      <c r="B748" s="27"/>
      <c r="C748" s="28"/>
      <c r="D748" s="28"/>
      <c r="E748" s="47"/>
    </row>
    <row r="749">
      <c r="A749" s="26"/>
      <c r="B749" s="27"/>
      <c r="C749" s="28"/>
      <c r="D749" s="28"/>
      <c r="E749" s="47"/>
    </row>
    <row r="750">
      <c r="A750" s="26"/>
      <c r="B750" s="27"/>
      <c r="C750" s="28"/>
      <c r="D750" s="28"/>
      <c r="E750" s="47"/>
    </row>
    <row r="751">
      <c r="A751" s="26"/>
      <c r="B751" s="27"/>
      <c r="C751" s="28"/>
      <c r="D751" s="28"/>
      <c r="E751" s="47"/>
    </row>
    <row r="752">
      <c r="A752" s="26"/>
      <c r="B752" s="27"/>
      <c r="C752" s="28"/>
      <c r="D752" s="28"/>
      <c r="E752" s="47"/>
    </row>
    <row r="753">
      <c r="A753" s="26"/>
      <c r="B753" s="27"/>
      <c r="C753" s="28"/>
      <c r="D753" s="28"/>
      <c r="E753" s="47"/>
    </row>
    <row r="754">
      <c r="A754" s="26"/>
      <c r="B754" s="27"/>
      <c r="C754" s="28"/>
      <c r="D754" s="28"/>
      <c r="E754" s="47"/>
    </row>
    <row r="755">
      <c r="A755" s="26"/>
      <c r="B755" s="27"/>
      <c r="C755" s="28"/>
      <c r="D755" s="28"/>
      <c r="E755" s="47"/>
    </row>
    <row r="756">
      <c r="A756" s="26"/>
      <c r="B756" s="27"/>
      <c r="C756" s="28"/>
      <c r="D756" s="28"/>
      <c r="E756" s="47"/>
    </row>
    <row r="757">
      <c r="A757" s="26"/>
      <c r="B757" s="27"/>
      <c r="C757" s="28"/>
      <c r="D757" s="28"/>
      <c r="E757" s="47"/>
    </row>
    <row r="758">
      <c r="A758" s="26"/>
      <c r="B758" s="27"/>
      <c r="C758" s="28"/>
      <c r="D758" s="28"/>
      <c r="E758" s="47"/>
    </row>
    <row r="759">
      <c r="A759" s="26"/>
      <c r="B759" s="27"/>
      <c r="C759" s="28"/>
      <c r="D759" s="28"/>
      <c r="E759" s="47"/>
    </row>
    <row r="760">
      <c r="A760" s="26"/>
      <c r="B760" s="27"/>
      <c r="C760" s="28"/>
      <c r="D760" s="28"/>
      <c r="E760" s="47"/>
    </row>
    <row r="761">
      <c r="A761" s="26"/>
      <c r="B761" s="27"/>
      <c r="C761" s="28"/>
      <c r="D761" s="28"/>
      <c r="E761" s="47"/>
    </row>
    <row r="762">
      <c r="A762" s="26"/>
      <c r="B762" s="27"/>
      <c r="C762" s="28"/>
      <c r="D762" s="28"/>
      <c r="E762" s="47"/>
    </row>
    <row r="763">
      <c r="A763" s="26"/>
      <c r="B763" s="27"/>
      <c r="C763" s="28"/>
      <c r="D763" s="28"/>
      <c r="E763" s="47"/>
    </row>
    <row r="764">
      <c r="A764" s="26"/>
      <c r="B764" s="27"/>
      <c r="C764" s="28"/>
      <c r="D764" s="28"/>
      <c r="E764" s="47"/>
    </row>
    <row r="765">
      <c r="A765" s="26"/>
      <c r="B765" s="27"/>
      <c r="C765" s="28"/>
      <c r="D765" s="28"/>
      <c r="E765" s="47"/>
    </row>
    <row r="766">
      <c r="A766" s="26"/>
      <c r="B766" s="27"/>
      <c r="C766" s="28"/>
      <c r="D766" s="28"/>
      <c r="E766" s="47"/>
    </row>
    <row r="767">
      <c r="A767" s="26"/>
      <c r="B767" s="27"/>
      <c r="C767" s="28"/>
      <c r="D767" s="28"/>
      <c r="E767" s="47"/>
    </row>
    <row r="768">
      <c r="A768" s="26"/>
      <c r="B768" s="27"/>
      <c r="C768" s="28"/>
      <c r="D768" s="28"/>
      <c r="E768" s="47"/>
    </row>
    <row r="769">
      <c r="A769" s="26"/>
      <c r="B769" s="27"/>
      <c r="C769" s="28"/>
      <c r="D769" s="28"/>
      <c r="E769" s="47"/>
    </row>
    <row r="770">
      <c r="A770" s="26"/>
      <c r="B770" s="27"/>
      <c r="C770" s="28"/>
      <c r="D770" s="28"/>
      <c r="E770" s="47"/>
    </row>
    <row r="771">
      <c r="A771" s="26"/>
      <c r="B771" s="27"/>
      <c r="C771" s="28"/>
      <c r="D771" s="28"/>
      <c r="E771" s="47"/>
    </row>
    <row r="772">
      <c r="A772" s="26"/>
      <c r="B772" s="27"/>
      <c r="C772" s="28"/>
      <c r="D772" s="28"/>
      <c r="E772" s="47"/>
    </row>
    <row r="773">
      <c r="A773" s="26"/>
      <c r="B773" s="27"/>
      <c r="C773" s="28"/>
      <c r="D773" s="28"/>
      <c r="E773" s="47"/>
    </row>
    <row r="774">
      <c r="A774" s="26"/>
      <c r="B774" s="27"/>
      <c r="C774" s="28"/>
      <c r="D774" s="28"/>
      <c r="E774" s="47"/>
    </row>
    <row r="775">
      <c r="A775" s="26"/>
      <c r="B775" s="27"/>
      <c r="C775" s="28"/>
      <c r="D775" s="28"/>
      <c r="E775" s="47"/>
    </row>
    <row r="776">
      <c r="A776" s="26"/>
      <c r="B776" s="27"/>
      <c r="C776" s="28"/>
      <c r="D776" s="28"/>
      <c r="E776" s="47"/>
    </row>
    <row r="777">
      <c r="A777" s="26"/>
      <c r="B777" s="27"/>
      <c r="C777" s="28"/>
      <c r="D777" s="28"/>
      <c r="E777" s="47"/>
    </row>
    <row r="778">
      <c r="A778" s="26"/>
      <c r="B778" s="27"/>
      <c r="C778" s="28"/>
      <c r="D778" s="28"/>
      <c r="E778" s="47"/>
    </row>
    <row r="779">
      <c r="A779" s="26"/>
      <c r="B779" s="27"/>
      <c r="C779" s="28"/>
      <c r="D779" s="28"/>
      <c r="E779" s="47"/>
    </row>
    <row r="780">
      <c r="A780" s="26"/>
      <c r="B780" s="27"/>
      <c r="C780" s="28"/>
      <c r="D780" s="28"/>
      <c r="E780" s="47"/>
    </row>
    <row r="781">
      <c r="A781" s="26"/>
      <c r="B781" s="27"/>
      <c r="C781" s="28"/>
      <c r="D781" s="28"/>
      <c r="E781" s="47"/>
    </row>
    <row r="782">
      <c r="A782" s="26"/>
      <c r="B782" s="27"/>
      <c r="C782" s="28"/>
      <c r="D782" s="28"/>
      <c r="E782" s="47"/>
    </row>
    <row r="783">
      <c r="A783" s="26"/>
      <c r="B783" s="27"/>
      <c r="C783" s="28"/>
      <c r="D783" s="28"/>
      <c r="E783" s="47"/>
    </row>
    <row r="784">
      <c r="A784" s="26"/>
      <c r="B784" s="27"/>
      <c r="C784" s="28"/>
      <c r="D784" s="28"/>
      <c r="E784" s="47"/>
    </row>
    <row r="785">
      <c r="A785" s="26"/>
      <c r="B785" s="27"/>
      <c r="C785" s="28"/>
      <c r="D785" s="28"/>
      <c r="E785" s="47"/>
    </row>
    <row r="786">
      <c r="A786" s="26"/>
      <c r="B786" s="27"/>
      <c r="C786" s="28"/>
      <c r="D786" s="28"/>
      <c r="E786" s="47"/>
    </row>
    <row r="787">
      <c r="A787" s="26"/>
      <c r="B787" s="27"/>
      <c r="C787" s="28"/>
      <c r="D787" s="28"/>
      <c r="E787" s="47"/>
    </row>
    <row r="788">
      <c r="A788" s="26"/>
      <c r="B788" s="27"/>
      <c r="C788" s="28"/>
      <c r="D788" s="28"/>
      <c r="E788" s="47"/>
    </row>
    <row r="789">
      <c r="A789" s="26"/>
      <c r="B789" s="27"/>
      <c r="C789" s="28"/>
      <c r="D789" s="28"/>
      <c r="E789" s="47"/>
    </row>
    <row r="790">
      <c r="A790" s="26"/>
      <c r="B790" s="27"/>
      <c r="C790" s="28"/>
      <c r="D790" s="28"/>
      <c r="E790" s="47"/>
    </row>
    <row r="791">
      <c r="A791" s="26"/>
      <c r="B791" s="27"/>
      <c r="C791" s="28"/>
      <c r="D791" s="28"/>
      <c r="E791" s="47"/>
    </row>
    <row r="792">
      <c r="A792" s="26"/>
      <c r="B792" s="27"/>
      <c r="C792" s="28"/>
      <c r="D792" s="28"/>
      <c r="E792" s="47"/>
    </row>
    <row r="793">
      <c r="A793" s="26"/>
      <c r="B793" s="27"/>
      <c r="C793" s="28"/>
      <c r="D793" s="28"/>
      <c r="E793" s="47"/>
    </row>
    <row r="794">
      <c r="A794" s="26"/>
      <c r="B794" s="27"/>
      <c r="C794" s="28"/>
      <c r="D794" s="28"/>
      <c r="E794" s="47"/>
    </row>
    <row r="795">
      <c r="A795" s="26"/>
      <c r="B795" s="27"/>
      <c r="C795" s="28"/>
      <c r="D795" s="28"/>
      <c r="E795" s="47"/>
    </row>
    <row r="796">
      <c r="A796" s="26"/>
      <c r="B796" s="27"/>
      <c r="C796" s="28"/>
      <c r="D796" s="28"/>
      <c r="E796" s="47"/>
    </row>
    <row r="797">
      <c r="A797" s="26"/>
      <c r="B797" s="27"/>
      <c r="C797" s="28"/>
      <c r="D797" s="28"/>
      <c r="E797" s="47"/>
    </row>
    <row r="798">
      <c r="A798" s="26"/>
      <c r="B798" s="27"/>
      <c r="C798" s="28"/>
      <c r="D798" s="28"/>
      <c r="E798" s="47"/>
    </row>
    <row r="799">
      <c r="A799" s="26"/>
      <c r="B799" s="27"/>
      <c r="C799" s="28"/>
      <c r="D799" s="28"/>
      <c r="E799" s="47"/>
    </row>
    <row r="800">
      <c r="A800" s="26"/>
      <c r="B800" s="27"/>
      <c r="C800" s="28"/>
      <c r="D800" s="28"/>
      <c r="E800" s="47"/>
    </row>
    <row r="801">
      <c r="A801" s="26"/>
      <c r="B801" s="27"/>
      <c r="C801" s="28"/>
      <c r="D801" s="28"/>
      <c r="E801" s="47"/>
    </row>
    <row r="802">
      <c r="A802" s="26"/>
      <c r="B802" s="27"/>
      <c r="C802" s="28"/>
      <c r="D802" s="28"/>
      <c r="E802" s="47"/>
    </row>
    <row r="803">
      <c r="A803" s="26"/>
      <c r="B803" s="27"/>
      <c r="C803" s="28"/>
      <c r="D803" s="28"/>
      <c r="E803" s="47"/>
    </row>
    <row r="804">
      <c r="A804" s="26"/>
      <c r="B804" s="27"/>
      <c r="C804" s="28"/>
      <c r="D804" s="28"/>
      <c r="E804" s="47"/>
    </row>
    <row r="805">
      <c r="A805" s="26"/>
      <c r="B805" s="27"/>
      <c r="C805" s="28"/>
      <c r="D805" s="28"/>
      <c r="E805" s="47"/>
    </row>
    <row r="806">
      <c r="A806" s="26"/>
      <c r="B806" s="27"/>
      <c r="C806" s="28"/>
      <c r="D806" s="28"/>
      <c r="E806" s="47"/>
    </row>
    <row r="807">
      <c r="A807" s="26"/>
      <c r="B807" s="27"/>
      <c r="C807" s="28"/>
      <c r="D807" s="28"/>
      <c r="E807" s="47"/>
    </row>
    <row r="808">
      <c r="A808" s="26"/>
      <c r="B808" s="27"/>
      <c r="C808" s="28"/>
      <c r="D808" s="28"/>
      <c r="E808" s="47"/>
    </row>
    <row r="809">
      <c r="A809" s="26"/>
      <c r="B809" s="27"/>
      <c r="C809" s="28"/>
      <c r="D809" s="28"/>
      <c r="E809" s="47"/>
    </row>
    <row r="810">
      <c r="A810" s="26"/>
      <c r="B810" s="27"/>
      <c r="C810" s="28"/>
      <c r="D810" s="28"/>
      <c r="E810" s="47"/>
    </row>
    <row r="811">
      <c r="A811" s="26"/>
      <c r="B811" s="27"/>
      <c r="C811" s="28"/>
      <c r="D811" s="28"/>
      <c r="E811" s="47"/>
    </row>
    <row r="812">
      <c r="A812" s="26"/>
      <c r="B812" s="27"/>
      <c r="C812" s="28"/>
      <c r="D812" s="28"/>
      <c r="E812" s="47"/>
    </row>
    <row r="813">
      <c r="A813" s="26"/>
      <c r="B813" s="27"/>
      <c r="C813" s="28"/>
      <c r="D813" s="28"/>
      <c r="E813" s="47"/>
    </row>
    <row r="814">
      <c r="A814" s="26"/>
      <c r="B814" s="27"/>
      <c r="C814" s="28"/>
      <c r="D814" s="28"/>
      <c r="E814" s="47"/>
    </row>
    <row r="815">
      <c r="A815" s="26"/>
      <c r="B815" s="27"/>
      <c r="C815" s="28"/>
      <c r="D815" s="28"/>
      <c r="E815" s="47"/>
    </row>
    <row r="816">
      <c r="A816" s="26"/>
      <c r="B816" s="27"/>
      <c r="C816" s="28"/>
      <c r="D816" s="28"/>
      <c r="E816" s="47"/>
    </row>
    <row r="817">
      <c r="A817" s="26"/>
      <c r="B817" s="27"/>
      <c r="C817" s="28"/>
      <c r="D817" s="28"/>
      <c r="E817" s="47"/>
    </row>
    <row r="818">
      <c r="A818" s="26"/>
      <c r="B818" s="27"/>
      <c r="C818" s="28"/>
      <c r="D818" s="28"/>
      <c r="E818" s="47"/>
    </row>
    <row r="819">
      <c r="A819" s="26"/>
      <c r="B819" s="27"/>
      <c r="C819" s="28"/>
      <c r="D819" s="28"/>
      <c r="E819" s="47"/>
    </row>
    <row r="820">
      <c r="A820" s="26"/>
      <c r="B820" s="27"/>
      <c r="C820" s="28"/>
      <c r="D820" s="28"/>
      <c r="E820" s="47"/>
    </row>
    <row r="821">
      <c r="A821" s="26"/>
      <c r="B821" s="27"/>
      <c r="C821" s="28"/>
      <c r="D821" s="28"/>
      <c r="E821" s="47"/>
    </row>
    <row r="822">
      <c r="A822" s="26"/>
      <c r="B822" s="27"/>
      <c r="C822" s="28"/>
      <c r="D822" s="28"/>
      <c r="E822" s="47"/>
    </row>
    <row r="823">
      <c r="A823" s="26"/>
      <c r="B823" s="27"/>
      <c r="C823" s="28"/>
      <c r="D823" s="28"/>
      <c r="E823" s="47"/>
    </row>
    <row r="824">
      <c r="A824" s="26"/>
      <c r="B824" s="27"/>
      <c r="C824" s="28"/>
      <c r="D824" s="28"/>
      <c r="E824" s="47"/>
    </row>
    <row r="825">
      <c r="A825" s="26"/>
      <c r="B825" s="27"/>
      <c r="C825" s="28"/>
      <c r="D825" s="28"/>
      <c r="E825" s="47"/>
    </row>
    <row r="826">
      <c r="A826" s="26"/>
      <c r="B826" s="27"/>
      <c r="C826" s="28"/>
      <c r="D826" s="28"/>
      <c r="E826" s="47"/>
    </row>
    <row r="827">
      <c r="A827" s="26"/>
      <c r="B827" s="27"/>
      <c r="C827" s="28"/>
      <c r="D827" s="28"/>
      <c r="E827" s="47"/>
    </row>
    <row r="828">
      <c r="A828" s="26"/>
      <c r="B828" s="27"/>
      <c r="C828" s="28"/>
      <c r="D828" s="28"/>
      <c r="E828" s="47"/>
    </row>
    <row r="829">
      <c r="A829" s="26"/>
      <c r="B829" s="27"/>
      <c r="C829" s="28"/>
      <c r="D829" s="28"/>
      <c r="E829" s="47"/>
    </row>
    <row r="830">
      <c r="A830" s="26"/>
      <c r="B830" s="27"/>
      <c r="C830" s="28"/>
      <c r="D830" s="28"/>
      <c r="E830" s="47"/>
    </row>
    <row r="831">
      <c r="A831" s="26"/>
      <c r="B831" s="27"/>
      <c r="C831" s="28"/>
      <c r="D831" s="28"/>
      <c r="E831" s="47"/>
    </row>
    <row r="832">
      <c r="A832" s="26"/>
      <c r="B832" s="27"/>
      <c r="C832" s="28"/>
      <c r="D832" s="28"/>
      <c r="E832" s="47"/>
    </row>
    <row r="833">
      <c r="A833" s="26"/>
      <c r="B833" s="27"/>
      <c r="C833" s="28"/>
      <c r="D833" s="28"/>
      <c r="E833" s="47"/>
    </row>
    <row r="834">
      <c r="A834" s="26"/>
      <c r="B834" s="27"/>
      <c r="C834" s="28"/>
      <c r="D834" s="28"/>
      <c r="E834" s="47"/>
    </row>
    <row r="835">
      <c r="A835" s="26"/>
      <c r="B835" s="27"/>
      <c r="C835" s="28"/>
      <c r="D835" s="28"/>
      <c r="E835" s="47"/>
    </row>
    <row r="836">
      <c r="A836" s="26"/>
      <c r="B836" s="27"/>
      <c r="C836" s="28"/>
      <c r="D836" s="28"/>
      <c r="E836" s="47"/>
    </row>
    <row r="837">
      <c r="A837" s="26"/>
      <c r="B837" s="27"/>
      <c r="C837" s="28"/>
      <c r="D837" s="28"/>
      <c r="E837" s="47"/>
    </row>
    <row r="838">
      <c r="A838" s="26"/>
      <c r="B838" s="27"/>
      <c r="C838" s="28"/>
      <c r="D838" s="28"/>
      <c r="E838" s="47"/>
    </row>
    <row r="839">
      <c r="A839" s="26"/>
      <c r="B839" s="27"/>
      <c r="C839" s="28"/>
      <c r="D839" s="28"/>
      <c r="E839" s="47"/>
    </row>
    <row r="840">
      <c r="A840" s="26"/>
      <c r="B840" s="27"/>
      <c r="C840" s="28"/>
      <c r="D840" s="28"/>
      <c r="E840" s="47"/>
    </row>
    <row r="841">
      <c r="A841" s="26"/>
      <c r="B841" s="27"/>
      <c r="C841" s="28"/>
      <c r="D841" s="28"/>
      <c r="E841" s="47"/>
    </row>
    <row r="842">
      <c r="A842" s="26"/>
      <c r="B842" s="27"/>
      <c r="C842" s="28"/>
      <c r="D842" s="28"/>
      <c r="E842" s="47"/>
    </row>
    <row r="843">
      <c r="A843" s="26"/>
      <c r="B843" s="27"/>
      <c r="C843" s="28"/>
      <c r="D843" s="28"/>
      <c r="E843" s="47"/>
    </row>
    <row r="844">
      <c r="A844" s="26"/>
      <c r="B844" s="27"/>
      <c r="C844" s="28"/>
      <c r="D844" s="28"/>
      <c r="E844" s="47"/>
    </row>
    <row r="845">
      <c r="A845" s="26"/>
      <c r="B845" s="27"/>
      <c r="C845" s="28"/>
      <c r="D845" s="28"/>
      <c r="E845" s="47"/>
    </row>
    <row r="846">
      <c r="A846" s="26"/>
      <c r="B846" s="27"/>
      <c r="C846" s="28"/>
      <c r="D846" s="28"/>
      <c r="E846" s="47"/>
    </row>
    <row r="847">
      <c r="A847" s="26"/>
      <c r="B847" s="27"/>
      <c r="C847" s="28"/>
      <c r="D847" s="28"/>
      <c r="E847" s="47"/>
    </row>
    <row r="848">
      <c r="A848" s="26"/>
      <c r="B848" s="27"/>
      <c r="C848" s="28"/>
      <c r="D848" s="28"/>
      <c r="E848" s="47"/>
    </row>
    <row r="849">
      <c r="A849" s="26"/>
      <c r="B849" s="27"/>
      <c r="C849" s="28"/>
      <c r="D849" s="28"/>
      <c r="E849" s="47"/>
    </row>
    <row r="850">
      <c r="A850" s="26"/>
      <c r="B850" s="27"/>
      <c r="C850" s="28"/>
      <c r="D850" s="28"/>
      <c r="E850" s="47"/>
    </row>
    <row r="851">
      <c r="A851" s="26"/>
      <c r="B851" s="27"/>
      <c r="C851" s="28"/>
      <c r="D851" s="28"/>
      <c r="E851" s="47"/>
    </row>
    <row r="852">
      <c r="A852" s="26"/>
      <c r="B852" s="27"/>
      <c r="C852" s="28"/>
      <c r="D852" s="28"/>
      <c r="E852" s="47"/>
    </row>
    <row r="853">
      <c r="A853" s="26"/>
      <c r="B853" s="27"/>
      <c r="C853" s="28"/>
      <c r="D853" s="28"/>
      <c r="E853" s="47"/>
    </row>
    <row r="854">
      <c r="A854" s="26"/>
      <c r="B854" s="27"/>
      <c r="C854" s="28"/>
      <c r="D854" s="28"/>
      <c r="E854" s="47"/>
    </row>
    <row r="855">
      <c r="A855" s="26"/>
      <c r="B855" s="27"/>
      <c r="C855" s="28"/>
      <c r="D855" s="28"/>
      <c r="E855" s="47"/>
    </row>
    <row r="856">
      <c r="A856" s="26"/>
      <c r="B856" s="27"/>
      <c r="C856" s="28"/>
      <c r="D856" s="28"/>
      <c r="E856" s="47"/>
    </row>
    <row r="857">
      <c r="A857" s="26"/>
      <c r="B857" s="27"/>
      <c r="C857" s="28"/>
      <c r="D857" s="28"/>
      <c r="E857" s="47"/>
    </row>
    <row r="858">
      <c r="A858" s="26"/>
      <c r="B858" s="27"/>
      <c r="C858" s="28"/>
      <c r="D858" s="28"/>
      <c r="E858" s="47"/>
    </row>
    <row r="859">
      <c r="A859" s="26"/>
      <c r="B859" s="27"/>
      <c r="C859" s="28"/>
      <c r="D859" s="28"/>
      <c r="E859" s="47"/>
    </row>
    <row r="860">
      <c r="A860" s="26"/>
      <c r="B860" s="27"/>
      <c r="C860" s="28"/>
      <c r="D860" s="28"/>
      <c r="E860" s="47"/>
    </row>
    <row r="861">
      <c r="A861" s="26"/>
      <c r="B861" s="27"/>
      <c r="C861" s="28"/>
      <c r="D861" s="28"/>
      <c r="E861" s="47"/>
    </row>
    <row r="862">
      <c r="A862" s="26"/>
      <c r="B862" s="27"/>
      <c r="C862" s="28"/>
      <c r="D862" s="28"/>
      <c r="E862" s="47"/>
    </row>
    <row r="863">
      <c r="A863" s="26"/>
      <c r="B863" s="27"/>
      <c r="C863" s="28"/>
      <c r="D863" s="28"/>
      <c r="E863" s="47"/>
    </row>
    <row r="864">
      <c r="A864" s="26"/>
      <c r="B864" s="27"/>
      <c r="C864" s="28"/>
      <c r="D864" s="28"/>
      <c r="E864" s="47"/>
    </row>
    <row r="865">
      <c r="A865" s="26"/>
      <c r="B865" s="27"/>
      <c r="C865" s="28"/>
      <c r="D865" s="28"/>
      <c r="E865" s="47"/>
    </row>
    <row r="866">
      <c r="A866" s="26"/>
      <c r="B866" s="27"/>
      <c r="C866" s="28"/>
      <c r="D866" s="28"/>
      <c r="E866" s="47"/>
    </row>
    <row r="867">
      <c r="A867" s="26"/>
      <c r="B867" s="27"/>
      <c r="C867" s="28"/>
      <c r="D867" s="28"/>
      <c r="E867" s="47"/>
    </row>
    <row r="868">
      <c r="A868" s="26"/>
      <c r="B868" s="27"/>
      <c r="C868" s="28"/>
      <c r="D868" s="28"/>
      <c r="E868" s="47"/>
    </row>
    <row r="869">
      <c r="A869" s="26"/>
      <c r="B869" s="27"/>
      <c r="C869" s="28"/>
      <c r="D869" s="28"/>
      <c r="E869" s="47"/>
    </row>
    <row r="870">
      <c r="A870" s="26"/>
      <c r="B870" s="27"/>
      <c r="C870" s="28"/>
      <c r="D870" s="28"/>
      <c r="E870" s="47"/>
    </row>
    <row r="871">
      <c r="A871" s="26"/>
      <c r="B871" s="27"/>
      <c r="C871" s="28"/>
      <c r="D871" s="28"/>
      <c r="E871" s="47"/>
    </row>
    <row r="872">
      <c r="A872" s="26"/>
      <c r="B872" s="27"/>
      <c r="C872" s="28"/>
      <c r="D872" s="28"/>
      <c r="E872" s="47"/>
    </row>
    <row r="873">
      <c r="A873" s="26"/>
      <c r="B873" s="27"/>
      <c r="C873" s="28"/>
      <c r="D873" s="28"/>
      <c r="E873" s="47"/>
    </row>
    <row r="874">
      <c r="A874" s="26"/>
      <c r="B874" s="27"/>
      <c r="C874" s="28"/>
      <c r="D874" s="28"/>
      <c r="E874" s="47"/>
    </row>
    <row r="875">
      <c r="A875" s="26"/>
      <c r="B875" s="27"/>
      <c r="C875" s="28"/>
      <c r="D875" s="28"/>
      <c r="E875" s="47"/>
    </row>
    <row r="876">
      <c r="A876" s="26"/>
      <c r="B876" s="27"/>
      <c r="C876" s="28"/>
      <c r="D876" s="28"/>
      <c r="E876" s="47"/>
    </row>
    <row r="877">
      <c r="A877" s="26"/>
      <c r="B877" s="27"/>
      <c r="C877" s="28"/>
      <c r="D877" s="28"/>
      <c r="E877" s="47"/>
    </row>
    <row r="878">
      <c r="A878" s="26"/>
      <c r="B878" s="27"/>
      <c r="C878" s="28"/>
      <c r="D878" s="28"/>
      <c r="E878" s="47"/>
    </row>
    <row r="879">
      <c r="A879" s="26"/>
      <c r="B879" s="27"/>
      <c r="C879" s="28"/>
      <c r="D879" s="28"/>
      <c r="E879" s="47"/>
    </row>
    <row r="880">
      <c r="A880" s="26"/>
      <c r="B880" s="27"/>
      <c r="C880" s="28"/>
      <c r="D880" s="28"/>
      <c r="E880" s="47"/>
    </row>
    <row r="881">
      <c r="A881" s="26"/>
      <c r="B881" s="27"/>
      <c r="C881" s="28"/>
      <c r="D881" s="28"/>
      <c r="E881" s="47"/>
    </row>
    <row r="882">
      <c r="A882" s="26"/>
      <c r="B882" s="27"/>
      <c r="C882" s="28"/>
      <c r="D882" s="28"/>
      <c r="E882" s="47"/>
    </row>
    <row r="883">
      <c r="A883" s="26"/>
      <c r="B883" s="27"/>
      <c r="C883" s="28"/>
      <c r="D883" s="28"/>
      <c r="E883" s="47"/>
    </row>
    <row r="884">
      <c r="A884" s="26"/>
      <c r="B884" s="27"/>
      <c r="C884" s="28"/>
      <c r="D884" s="28"/>
      <c r="E884" s="47"/>
    </row>
    <row r="885">
      <c r="A885" s="26"/>
      <c r="B885" s="27"/>
      <c r="C885" s="28"/>
      <c r="D885" s="28"/>
      <c r="E885" s="47"/>
    </row>
    <row r="886">
      <c r="A886" s="26"/>
      <c r="B886" s="27"/>
      <c r="C886" s="28"/>
      <c r="D886" s="28"/>
      <c r="E886" s="47"/>
    </row>
    <row r="887">
      <c r="A887" s="26"/>
      <c r="B887" s="27"/>
      <c r="C887" s="28"/>
      <c r="D887" s="28"/>
      <c r="E887" s="47"/>
    </row>
    <row r="888">
      <c r="A888" s="26"/>
      <c r="B888" s="27"/>
      <c r="C888" s="28"/>
      <c r="D888" s="28"/>
      <c r="E888" s="47"/>
    </row>
    <row r="889">
      <c r="A889" s="26"/>
      <c r="B889" s="27"/>
      <c r="C889" s="28"/>
      <c r="D889" s="28"/>
      <c r="E889" s="47"/>
    </row>
    <row r="890">
      <c r="A890" s="26"/>
      <c r="B890" s="27"/>
      <c r="C890" s="28"/>
      <c r="D890" s="28"/>
      <c r="E890" s="47"/>
    </row>
    <row r="891">
      <c r="A891" s="26"/>
      <c r="B891" s="27"/>
      <c r="C891" s="28"/>
      <c r="D891" s="28"/>
      <c r="E891" s="47"/>
    </row>
    <row r="892">
      <c r="A892" s="26"/>
      <c r="B892" s="27"/>
      <c r="C892" s="28"/>
      <c r="D892" s="28"/>
      <c r="E892" s="47"/>
    </row>
    <row r="893">
      <c r="A893" s="26"/>
      <c r="B893" s="27"/>
      <c r="C893" s="28"/>
      <c r="D893" s="28"/>
      <c r="E893" s="47"/>
    </row>
    <row r="894">
      <c r="A894" s="26"/>
      <c r="B894" s="27"/>
      <c r="C894" s="28"/>
      <c r="D894" s="28"/>
      <c r="E894" s="47"/>
    </row>
    <row r="895">
      <c r="A895" s="26"/>
      <c r="B895" s="27"/>
      <c r="C895" s="28"/>
      <c r="D895" s="28"/>
      <c r="E895" s="47"/>
    </row>
    <row r="896">
      <c r="A896" s="26"/>
      <c r="B896" s="27"/>
      <c r="C896" s="28"/>
      <c r="D896" s="28"/>
      <c r="E896" s="47"/>
    </row>
    <row r="897">
      <c r="A897" s="26"/>
      <c r="B897" s="27"/>
      <c r="C897" s="28"/>
      <c r="D897" s="28"/>
      <c r="E897" s="47"/>
    </row>
    <row r="898">
      <c r="A898" s="26"/>
      <c r="B898" s="27"/>
      <c r="C898" s="28"/>
      <c r="D898" s="28"/>
      <c r="E898" s="47"/>
    </row>
    <row r="899">
      <c r="A899" s="26"/>
      <c r="B899" s="27"/>
      <c r="C899" s="28"/>
      <c r="D899" s="28"/>
      <c r="E899" s="47"/>
    </row>
    <row r="900">
      <c r="A900" s="26"/>
      <c r="B900" s="27"/>
      <c r="C900" s="28"/>
      <c r="D900" s="28"/>
      <c r="E900" s="47"/>
    </row>
    <row r="901">
      <c r="A901" s="26"/>
      <c r="B901" s="27"/>
      <c r="C901" s="28"/>
      <c r="D901" s="28"/>
      <c r="E901" s="47"/>
    </row>
    <row r="902">
      <c r="A902" s="26"/>
      <c r="B902" s="27"/>
      <c r="C902" s="28"/>
      <c r="D902" s="28"/>
      <c r="E902" s="47"/>
    </row>
    <row r="903">
      <c r="A903" s="26"/>
      <c r="B903" s="27"/>
      <c r="C903" s="28"/>
      <c r="D903" s="28"/>
      <c r="E903" s="47"/>
    </row>
    <row r="904">
      <c r="A904" s="26"/>
      <c r="B904" s="27"/>
      <c r="C904" s="28"/>
      <c r="D904" s="28"/>
      <c r="E904" s="47"/>
    </row>
    <row r="905">
      <c r="A905" s="26"/>
      <c r="B905" s="27"/>
      <c r="C905" s="28"/>
      <c r="D905" s="28"/>
      <c r="E905" s="47"/>
    </row>
    <row r="906">
      <c r="A906" s="26"/>
      <c r="B906" s="27"/>
      <c r="C906" s="28"/>
      <c r="D906" s="28"/>
      <c r="E906" s="47"/>
    </row>
    <row r="907">
      <c r="A907" s="26"/>
      <c r="B907" s="27"/>
      <c r="C907" s="28"/>
      <c r="D907" s="28"/>
      <c r="E907" s="47"/>
    </row>
    <row r="908">
      <c r="A908" s="26"/>
      <c r="B908" s="27"/>
      <c r="C908" s="28"/>
      <c r="D908" s="28"/>
      <c r="E908" s="47"/>
    </row>
    <row r="909">
      <c r="A909" s="26"/>
      <c r="B909" s="27"/>
      <c r="C909" s="28"/>
      <c r="D909" s="28"/>
      <c r="E909" s="47"/>
    </row>
    <row r="910">
      <c r="A910" s="26"/>
      <c r="B910" s="27"/>
      <c r="C910" s="28"/>
      <c r="D910" s="28"/>
      <c r="E910" s="47"/>
    </row>
    <row r="911">
      <c r="A911" s="26"/>
      <c r="B911" s="27"/>
      <c r="C911" s="28"/>
      <c r="D911" s="28"/>
      <c r="E911" s="47"/>
    </row>
    <row r="912">
      <c r="A912" s="26"/>
      <c r="B912" s="27"/>
      <c r="C912" s="28"/>
      <c r="D912" s="28"/>
      <c r="E912" s="47"/>
    </row>
    <row r="913">
      <c r="A913" s="26"/>
      <c r="B913" s="27"/>
      <c r="C913" s="28"/>
      <c r="D913" s="28"/>
      <c r="E913" s="47"/>
    </row>
    <row r="914">
      <c r="A914" s="26"/>
      <c r="B914" s="27"/>
      <c r="C914" s="28"/>
      <c r="D914" s="28"/>
      <c r="E914" s="47"/>
    </row>
    <row r="915">
      <c r="A915" s="26"/>
      <c r="B915" s="27"/>
      <c r="C915" s="28"/>
      <c r="D915" s="28"/>
      <c r="E915" s="47"/>
    </row>
    <row r="916">
      <c r="A916" s="26"/>
      <c r="B916" s="27"/>
      <c r="C916" s="28"/>
      <c r="D916" s="28"/>
      <c r="E916" s="47"/>
    </row>
    <row r="917">
      <c r="A917" s="26"/>
      <c r="B917" s="27"/>
      <c r="C917" s="28"/>
      <c r="D917" s="28"/>
      <c r="E917" s="47"/>
    </row>
    <row r="918">
      <c r="A918" s="26"/>
      <c r="B918" s="27"/>
      <c r="C918" s="28"/>
      <c r="D918" s="28"/>
      <c r="E918" s="47"/>
    </row>
    <row r="919">
      <c r="A919" s="26"/>
      <c r="B919" s="27"/>
      <c r="C919" s="28"/>
      <c r="D919" s="28"/>
      <c r="E919" s="47"/>
    </row>
    <row r="920">
      <c r="A920" s="26"/>
      <c r="B920" s="27"/>
      <c r="C920" s="28"/>
      <c r="D920" s="28"/>
      <c r="E920" s="47"/>
    </row>
    <row r="921">
      <c r="A921" s="26"/>
      <c r="B921" s="27"/>
      <c r="C921" s="28"/>
      <c r="D921" s="28"/>
      <c r="E921" s="47"/>
    </row>
    <row r="922">
      <c r="A922" s="26"/>
      <c r="B922" s="27"/>
      <c r="C922" s="28"/>
      <c r="D922" s="28"/>
      <c r="E922" s="47"/>
    </row>
    <row r="923">
      <c r="A923" s="26"/>
      <c r="B923" s="27"/>
      <c r="C923" s="28"/>
      <c r="D923" s="28"/>
      <c r="E923" s="47"/>
    </row>
    <row r="924">
      <c r="A924" s="26"/>
      <c r="B924" s="27"/>
      <c r="C924" s="28"/>
      <c r="D924" s="28"/>
      <c r="E924" s="47"/>
    </row>
    <row r="925">
      <c r="A925" s="26"/>
      <c r="B925" s="27"/>
      <c r="C925" s="28"/>
      <c r="D925" s="28"/>
      <c r="E925" s="47"/>
    </row>
    <row r="926">
      <c r="A926" s="26"/>
      <c r="B926" s="27"/>
      <c r="C926" s="28"/>
      <c r="D926" s="28"/>
      <c r="E926" s="47"/>
    </row>
    <row r="927">
      <c r="A927" s="26"/>
      <c r="B927" s="27"/>
      <c r="C927" s="28"/>
      <c r="D927" s="28"/>
      <c r="E927" s="47"/>
    </row>
    <row r="928">
      <c r="A928" s="26"/>
      <c r="B928" s="27"/>
      <c r="C928" s="28"/>
      <c r="D928" s="28"/>
      <c r="E928" s="47"/>
    </row>
    <row r="929">
      <c r="A929" s="26"/>
      <c r="B929" s="27"/>
      <c r="C929" s="28"/>
      <c r="D929" s="28"/>
      <c r="E929" s="47"/>
    </row>
    <row r="930">
      <c r="A930" s="26"/>
      <c r="B930" s="27"/>
      <c r="C930" s="28"/>
      <c r="D930" s="28"/>
      <c r="E930" s="47"/>
    </row>
    <row r="931">
      <c r="A931" s="26"/>
      <c r="B931" s="27"/>
      <c r="C931" s="28"/>
      <c r="D931" s="28"/>
      <c r="E931" s="47"/>
    </row>
    <row r="932">
      <c r="A932" s="26"/>
      <c r="B932" s="27"/>
      <c r="C932" s="28"/>
      <c r="D932" s="28"/>
      <c r="E932" s="47"/>
    </row>
    <row r="933">
      <c r="A933" s="26"/>
      <c r="B933" s="27"/>
      <c r="C933" s="28"/>
      <c r="D933" s="28"/>
      <c r="E933" s="47"/>
    </row>
    <row r="934">
      <c r="A934" s="26"/>
      <c r="B934" s="27"/>
      <c r="C934" s="28"/>
      <c r="D934" s="28"/>
      <c r="E934" s="47"/>
    </row>
    <row r="935">
      <c r="A935" s="26"/>
      <c r="B935" s="27"/>
      <c r="C935" s="28"/>
      <c r="D935" s="28"/>
      <c r="E935" s="47"/>
    </row>
    <row r="936">
      <c r="A936" s="26"/>
      <c r="B936" s="27"/>
      <c r="C936" s="28"/>
      <c r="D936" s="28"/>
      <c r="E936" s="47"/>
    </row>
    <row r="937">
      <c r="A937" s="26"/>
      <c r="B937" s="27"/>
      <c r="C937" s="28"/>
      <c r="D937" s="28"/>
      <c r="E937" s="47"/>
    </row>
    <row r="938">
      <c r="A938" s="26"/>
      <c r="B938" s="27"/>
      <c r="C938" s="28"/>
      <c r="D938" s="28"/>
      <c r="E938" s="47"/>
    </row>
    <row r="939">
      <c r="A939" s="26"/>
      <c r="B939" s="27"/>
      <c r="C939" s="28"/>
      <c r="D939" s="28"/>
      <c r="E939" s="47"/>
    </row>
    <row r="940">
      <c r="A940" s="26"/>
      <c r="B940" s="27"/>
      <c r="C940" s="28"/>
      <c r="D940" s="28"/>
      <c r="E940" s="47"/>
    </row>
    <row r="941">
      <c r="A941" s="26"/>
      <c r="B941" s="27"/>
      <c r="C941" s="28"/>
      <c r="D941" s="28"/>
      <c r="E941" s="47"/>
    </row>
    <row r="942">
      <c r="A942" s="26"/>
      <c r="B942" s="27"/>
      <c r="C942" s="28"/>
      <c r="D942" s="28"/>
      <c r="E942" s="47"/>
    </row>
    <row r="943">
      <c r="A943" s="26"/>
      <c r="B943" s="27"/>
      <c r="C943" s="28"/>
      <c r="D943" s="28"/>
      <c r="E943" s="47"/>
    </row>
    <row r="944">
      <c r="A944" s="26"/>
      <c r="B944" s="27"/>
      <c r="C944" s="28"/>
      <c r="D944" s="28"/>
      <c r="E944" s="47"/>
    </row>
    <row r="945">
      <c r="A945" s="26"/>
      <c r="B945" s="27"/>
      <c r="C945" s="28"/>
      <c r="D945" s="28"/>
      <c r="E945" s="47"/>
    </row>
    <row r="946">
      <c r="A946" s="26"/>
      <c r="B946" s="27"/>
      <c r="C946" s="28"/>
      <c r="D946" s="28"/>
      <c r="E946" s="47"/>
    </row>
    <row r="947">
      <c r="A947" s="26"/>
      <c r="B947" s="27"/>
      <c r="C947" s="28"/>
      <c r="D947" s="28"/>
      <c r="E947" s="47"/>
    </row>
    <row r="948">
      <c r="A948" s="26"/>
      <c r="B948" s="27"/>
      <c r="C948" s="28"/>
      <c r="D948" s="28"/>
      <c r="E948" s="47"/>
    </row>
    <row r="949">
      <c r="A949" s="26"/>
      <c r="B949" s="27"/>
      <c r="C949" s="28"/>
      <c r="D949" s="28"/>
      <c r="E949" s="47"/>
    </row>
    <row r="950">
      <c r="A950" s="26"/>
      <c r="B950" s="27"/>
      <c r="C950" s="28"/>
      <c r="D950" s="28"/>
      <c r="E950" s="47"/>
    </row>
    <row r="951">
      <c r="A951" s="26"/>
      <c r="B951" s="27"/>
      <c r="C951" s="28"/>
      <c r="D951" s="28"/>
      <c r="E951" s="47"/>
    </row>
    <row r="952">
      <c r="A952" s="26"/>
      <c r="B952" s="27"/>
      <c r="C952" s="28"/>
      <c r="D952" s="28"/>
      <c r="E952" s="47"/>
    </row>
    <row r="953">
      <c r="A953" s="26"/>
      <c r="B953" s="27"/>
      <c r="C953" s="28"/>
      <c r="D953" s="28"/>
      <c r="E953" s="47"/>
    </row>
    <row r="954">
      <c r="A954" s="26"/>
      <c r="B954" s="27"/>
      <c r="C954" s="28"/>
      <c r="D954" s="28"/>
      <c r="E954" s="47"/>
    </row>
    <row r="955">
      <c r="A955" s="26"/>
      <c r="B955" s="27"/>
      <c r="C955" s="28"/>
      <c r="D955" s="28"/>
      <c r="E955" s="47"/>
    </row>
    <row r="956">
      <c r="A956" s="26"/>
      <c r="B956" s="27"/>
      <c r="C956" s="28"/>
      <c r="D956" s="28"/>
      <c r="E956" s="47"/>
    </row>
    <row r="957">
      <c r="A957" s="26"/>
      <c r="B957" s="27"/>
      <c r="C957" s="28"/>
      <c r="D957" s="28"/>
      <c r="E957" s="47"/>
    </row>
    <row r="958">
      <c r="A958" s="26"/>
      <c r="B958" s="27"/>
      <c r="C958" s="28"/>
      <c r="D958" s="28"/>
      <c r="E958" s="47"/>
    </row>
    <row r="959">
      <c r="A959" s="26"/>
      <c r="B959" s="27"/>
      <c r="C959" s="28"/>
      <c r="D959" s="28"/>
      <c r="E959" s="47"/>
    </row>
    <row r="960">
      <c r="A960" s="26"/>
      <c r="B960" s="27"/>
      <c r="C960" s="28"/>
      <c r="D960" s="28"/>
      <c r="E960" s="47"/>
    </row>
    <row r="961">
      <c r="A961" s="26"/>
      <c r="B961" s="27"/>
      <c r="C961" s="28"/>
      <c r="D961" s="28"/>
      <c r="E961" s="47"/>
    </row>
    <row r="962">
      <c r="A962" s="26"/>
      <c r="B962" s="27"/>
      <c r="C962" s="28"/>
      <c r="D962" s="28"/>
      <c r="E962" s="47"/>
    </row>
    <row r="963">
      <c r="A963" s="26"/>
      <c r="B963" s="27"/>
      <c r="C963" s="28"/>
      <c r="D963" s="28"/>
      <c r="E963" s="47"/>
    </row>
    <row r="964">
      <c r="A964" s="26"/>
      <c r="B964" s="27"/>
      <c r="C964" s="28"/>
      <c r="D964" s="28"/>
      <c r="E964" s="47"/>
    </row>
    <row r="965">
      <c r="A965" s="26"/>
      <c r="B965" s="27"/>
      <c r="C965" s="28"/>
      <c r="D965" s="28"/>
      <c r="E965" s="47"/>
    </row>
    <row r="966">
      <c r="A966" s="26"/>
      <c r="B966" s="27"/>
      <c r="C966" s="28"/>
      <c r="D966" s="28"/>
      <c r="E966" s="47"/>
    </row>
    <row r="967">
      <c r="A967" s="26"/>
      <c r="B967" s="27"/>
      <c r="C967" s="28"/>
      <c r="D967" s="28"/>
      <c r="E967" s="47"/>
    </row>
    <row r="968">
      <c r="A968" s="26"/>
      <c r="B968" s="27"/>
      <c r="C968" s="28"/>
      <c r="D968" s="28"/>
      <c r="E968" s="47"/>
    </row>
    <row r="969">
      <c r="A969" s="26"/>
      <c r="B969" s="27"/>
      <c r="C969" s="28"/>
      <c r="D969" s="28"/>
      <c r="E969" s="47"/>
    </row>
    <row r="970">
      <c r="A970" s="26"/>
      <c r="B970" s="27"/>
      <c r="C970" s="28"/>
      <c r="D970" s="28"/>
      <c r="E970" s="47"/>
    </row>
    <row r="971">
      <c r="A971" s="26"/>
      <c r="B971" s="27"/>
      <c r="C971" s="28"/>
      <c r="D971" s="28"/>
      <c r="E971" s="47"/>
    </row>
    <row r="972">
      <c r="A972" s="26"/>
      <c r="B972" s="27"/>
      <c r="C972" s="28"/>
      <c r="D972" s="28"/>
      <c r="E972" s="47"/>
    </row>
    <row r="973">
      <c r="A973" s="26"/>
      <c r="B973" s="27"/>
      <c r="C973" s="28"/>
      <c r="D973" s="28"/>
      <c r="E973" s="47"/>
    </row>
    <row r="974">
      <c r="A974" s="26"/>
      <c r="B974" s="27"/>
      <c r="C974" s="28"/>
      <c r="D974" s="28"/>
      <c r="E974" s="47"/>
    </row>
    <row r="975">
      <c r="A975" s="26"/>
      <c r="B975" s="27"/>
      <c r="C975" s="28"/>
      <c r="D975" s="28"/>
      <c r="E975" s="47"/>
    </row>
    <row r="976">
      <c r="A976" s="26"/>
      <c r="B976" s="27"/>
      <c r="C976" s="28"/>
      <c r="D976" s="28"/>
      <c r="E976" s="47"/>
    </row>
    <row r="977">
      <c r="A977" s="26"/>
      <c r="B977" s="27"/>
      <c r="C977" s="28"/>
      <c r="D977" s="28"/>
      <c r="E977" s="47"/>
    </row>
    <row r="978">
      <c r="A978" s="26"/>
      <c r="B978" s="27"/>
      <c r="C978" s="28"/>
      <c r="D978" s="28"/>
      <c r="E978" s="47"/>
    </row>
    <row r="979">
      <c r="A979" s="26"/>
      <c r="B979" s="27"/>
      <c r="C979" s="28"/>
      <c r="D979" s="28"/>
      <c r="E979" s="47"/>
    </row>
    <row r="980">
      <c r="A980" s="26"/>
      <c r="B980" s="27"/>
      <c r="C980" s="28"/>
      <c r="D980" s="28"/>
      <c r="E980" s="47"/>
    </row>
    <row r="981">
      <c r="A981" s="26"/>
      <c r="B981" s="27"/>
      <c r="C981" s="28"/>
      <c r="D981" s="28"/>
      <c r="E981" s="47"/>
    </row>
    <row r="982">
      <c r="A982" s="26"/>
      <c r="B982" s="27"/>
      <c r="C982" s="28"/>
      <c r="D982" s="28"/>
      <c r="E982" s="47"/>
    </row>
    <row r="983">
      <c r="A983" s="26"/>
      <c r="B983" s="27"/>
      <c r="C983" s="28"/>
      <c r="D983" s="28"/>
      <c r="E983" s="47"/>
    </row>
    <row r="984">
      <c r="A984" s="26"/>
      <c r="B984" s="27"/>
      <c r="C984" s="28"/>
      <c r="D984" s="28"/>
      <c r="E984" s="47"/>
    </row>
    <row r="985">
      <c r="A985" s="26"/>
      <c r="B985" s="27"/>
      <c r="C985" s="28"/>
      <c r="D985" s="28"/>
      <c r="E985" s="47"/>
    </row>
    <row r="986">
      <c r="A986" s="26"/>
      <c r="B986" s="27"/>
      <c r="C986" s="28"/>
      <c r="D986" s="28"/>
      <c r="E986" s="47"/>
    </row>
    <row r="987">
      <c r="A987" s="26"/>
      <c r="B987" s="27"/>
      <c r="C987" s="28"/>
      <c r="D987" s="28"/>
      <c r="E987" s="47"/>
    </row>
    <row r="988">
      <c r="A988" s="26"/>
      <c r="B988" s="27"/>
      <c r="C988" s="28"/>
      <c r="D988" s="28"/>
      <c r="E988" s="47"/>
    </row>
    <row r="989">
      <c r="A989" s="26"/>
      <c r="B989" s="27"/>
      <c r="C989" s="28"/>
      <c r="D989" s="28"/>
      <c r="E989" s="47"/>
    </row>
    <row r="990">
      <c r="A990" s="26"/>
      <c r="B990" s="27"/>
      <c r="C990" s="28"/>
      <c r="D990" s="28"/>
      <c r="E990" s="47"/>
    </row>
    <row r="991">
      <c r="A991" s="26"/>
      <c r="B991" s="27"/>
      <c r="C991" s="28"/>
      <c r="D991" s="28"/>
      <c r="E991" s="47"/>
    </row>
    <row r="992">
      <c r="A992" s="26"/>
      <c r="B992" s="27"/>
      <c r="C992" s="28"/>
      <c r="D992" s="28"/>
      <c r="E992" s="47"/>
    </row>
    <row r="993">
      <c r="A993" s="26"/>
      <c r="B993" s="27"/>
      <c r="C993" s="28"/>
      <c r="D993" s="28"/>
      <c r="E993" s="47"/>
    </row>
    <row r="994">
      <c r="A994" s="26"/>
      <c r="B994" s="27"/>
      <c r="C994" s="28"/>
      <c r="D994" s="28"/>
      <c r="E994" s="47"/>
    </row>
    <row r="995">
      <c r="A995" s="26"/>
      <c r="B995" s="27"/>
      <c r="C995" s="28"/>
      <c r="D995" s="28"/>
      <c r="E995" s="47"/>
    </row>
    <row r="996">
      <c r="A996" s="26"/>
      <c r="B996" s="27"/>
      <c r="C996" s="28"/>
      <c r="D996" s="28"/>
      <c r="E996" s="47"/>
    </row>
    <row r="997">
      <c r="A997" s="26"/>
      <c r="B997" s="27"/>
      <c r="C997" s="28"/>
      <c r="D997" s="28"/>
      <c r="E997" s="47"/>
    </row>
    <row r="998">
      <c r="A998" s="26"/>
      <c r="B998" s="27"/>
      <c r="C998" s="28"/>
      <c r="D998" s="28"/>
      <c r="E998" s="47"/>
    </row>
    <row r="999">
      <c r="A999" s="26"/>
      <c r="B999" s="27"/>
      <c r="C999" s="28"/>
      <c r="D999" s="28"/>
      <c r="E999" s="47"/>
    </row>
    <row r="1000">
      <c r="A1000" s="46"/>
      <c r="B1000" s="46"/>
      <c r="C1000" s="28"/>
      <c r="D1000" s="28"/>
      <c r="E1000" s="47"/>
    </row>
    <row r="1001">
      <c r="A1001" s="46"/>
      <c r="B1001" s="46"/>
      <c r="C1001" s="28"/>
      <c r="D1001" s="28"/>
      <c r="E1001" s="47"/>
    </row>
    <row r="1002">
      <c r="A1002" s="46"/>
      <c r="B1002" s="46"/>
      <c r="C1002" s="28"/>
      <c r="D1002" s="28"/>
      <c r="E1002" s="47"/>
    </row>
    <row r="1003">
      <c r="A1003" s="46"/>
      <c r="B1003" s="46"/>
      <c r="C1003" s="28"/>
      <c r="D1003" s="28"/>
      <c r="E1003" s="47"/>
    </row>
    <row r="1004">
      <c r="A1004" s="46"/>
      <c r="B1004" s="46"/>
      <c r="C1004" s="28"/>
      <c r="D1004" s="28"/>
      <c r="E1004" s="47"/>
    </row>
    <row r="1005">
      <c r="A1005" s="46"/>
      <c r="B1005" s="46"/>
      <c r="C1005" s="28"/>
      <c r="D1005" s="28"/>
      <c r="E1005" s="47"/>
    </row>
    <row r="1006">
      <c r="A1006" s="46"/>
      <c r="B1006" s="46"/>
      <c r="C1006" s="28"/>
      <c r="D1006" s="28"/>
      <c r="E1006" s="47"/>
    </row>
    <row r="1007">
      <c r="A1007" s="46"/>
      <c r="B1007" s="46"/>
      <c r="C1007" s="28"/>
      <c r="D1007" s="28"/>
      <c r="E1007" s="47"/>
    </row>
    <row r="1008">
      <c r="A1008" s="46"/>
      <c r="B1008" s="46"/>
      <c r="C1008" s="28"/>
      <c r="D1008" s="28"/>
      <c r="E1008" s="47"/>
    </row>
    <row r="1009">
      <c r="A1009" s="46"/>
      <c r="B1009" s="46"/>
      <c r="C1009" s="28"/>
      <c r="D1009" s="28"/>
      <c r="E1009" s="47"/>
    </row>
    <row r="1010">
      <c r="A1010" s="46"/>
      <c r="B1010" s="46"/>
      <c r="C1010" s="28"/>
      <c r="D1010" s="28"/>
      <c r="E1010" s="47"/>
    </row>
    <row r="1011">
      <c r="A1011" s="46"/>
      <c r="B1011" s="46"/>
      <c r="C1011" s="28"/>
      <c r="D1011" s="28"/>
      <c r="E1011" s="47"/>
    </row>
    <row r="1012">
      <c r="A1012" s="46"/>
      <c r="B1012" s="46"/>
      <c r="C1012" s="28"/>
      <c r="D1012" s="28"/>
      <c r="E1012" s="47"/>
    </row>
    <row r="1013">
      <c r="A1013" s="46"/>
      <c r="B1013" s="46"/>
      <c r="C1013" s="28"/>
      <c r="D1013" s="28"/>
      <c r="E1013" s="47"/>
    </row>
    <row r="1014">
      <c r="A1014" s="46"/>
      <c r="B1014" s="46"/>
      <c r="C1014" s="28"/>
      <c r="D1014" s="28"/>
      <c r="E1014" s="47"/>
    </row>
    <row r="1015">
      <c r="A1015" s="46"/>
      <c r="B1015" s="46"/>
      <c r="C1015" s="28"/>
      <c r="D1015" s="28"/>
      <c r="E1015" s="47"/>
    </row>
    <row r="1016">
      <c r="A1016" s="46"/>
      <c r="B1016" s="46"/>
      <c r="C1016" s="28"/>
      <c r="D1016" s="28"/>
      <c r="E1016" s="47"/>
    </row>
    <row r="1017">
      <c r="A1017" s="46"/>
      <c r="B1017" s="46"/>
      <c r="C1017" s="28"/>
      <c r="D1017" s="28"/>
      <c r="E1017" s="47"/>
    </row>
    <row r="1018">
      <c r="A1018" s="46"/>
      <c r="B1018" s="46"/>
      <c r="C1018" s="28"/>
      <c r="D1018" s="28"/>
      <c r="E1018" s="47"/>
    </row>
    <row r="1019">
      <c r="A1019" s="46"/>
      <c r="B1019" s="46"/>
      <c r="C1019" s="28"/>
      <c r="D1019" s="28"/>
      <c r="E1019" s="47"/>
    </row>
    <row r="1020">
      <c r="A1020" s="46"/>
      <c r="B1020" s="46"/>
      <c r="C1020" s="28"/>
      <c r="D1020" s="28"/>
      <c r="E1020" s="47"/>
    </row>
    <row r="1021">
      <c r="A1021" s="46"/>
      <c r="B1021" s="46"/>
      <c r="C1021" s="28"/>
      <c r="D1021" s="28"/>
      <c r="E1021" s="47"/>
    </row>
    <row r="1022">
      <c r="A1022" s="46"/>
      <c r="B1022" s="46"/>
      <c r="C1022" s="28"/>
      <c r="D1022" s="28"/>
      <c r="E1022" s="47"/>
    </row>
    <row r="1023">
      <c r="A1023" s="46"/>
      <c r="B1023" s="46"/>
      <c r="C1023" s="28"/>
      <c r="D1023" s="28"/>
      <c r="E1023" s="47"/>
    </row>
    <row r="1024">
      <c r="A1024" s="46"/>
      <c r="B1024" s="46"/>
      <c r="C1024" s="28"/>
      <c r="D1024" s="28"/>
      <c r="E1024" s="47"/>
    </row>
    <row r="1025">
      <c r="A1025" s="46"/>
      <c r="B1025" s="46"/>
      <c r="C1025" s="28"/>
      <c r="D1025" s="28"/>
      <c r="E1025" s="47"/>
    </row>
    <row r="1026">
      <c r="A1026" s="46"/>
      <c r="B1026" s="46"/>
      <c r="C1026" s="28"/>
      <c r="D1026" s="28"/>
      <c r="E1026" s="47"/>
    </row>
    <row r="1027">
      <c r="A1027" s="46"/>
      <c r="B1027" s="46"/>
      <c r="C1027" s="28"/>
      <c r="D1027" s="28"/>
      <c r="E1027" s="47"/>
    </row>
    <row r="1028">
      <c r="A1028" s="46"/>
      <c r="B1028" s="46"/>
      <c r="C1028" s="28"/>
      <c r="D1028" s="28"/>
      <c r="E1028" s="47"/>
    </row>
    <row r="1029">
      <c r="A1029" s="46"/>
      <c r="B1029" s="46"/>
      <c r="C1029" s="28"/>
      <c r="D1029" s="28"/>
      <c r="E1029" s="47"/>
    </row>
    <row r="1030">
      <c r="A1030" s="46"/>
      <c r="B1030" s="46"/>
      <c r="C1030" s="28"/>
      <c r="D1030" s="28"/>
      <c r="E1030" s="47"/>
    </row>
    <row r="1031">
      <c r="A1031" s="46"/>
      <c r="B1031" s="46"/>
      <c r="C1031" s="28"/>
      <c r="D1031" s="28"/>
      <c r="E1031" s="47"/>
    </row>
    <row r="1032">
      <c r="A1032" s="46"/>
      <c r="B1032" s="46"/>
      <c r="C1032" s="28"/>
      <c r="D1032" s="28"/>
      <c r="E1032" s="47"/>
    </row>
    <row r="1033">
      <c r="A1033" s="46"/>
      <c r="B1033" s="46"/>
      <c r="C1033" s="28"/>
      <c r="D1033" s="28"/>
      <c r="E1033" s="47"/>
    </row>
    <row r="1034">
      <c r="A1034" s="46"/>
      <c r="B1034" s="46"/>
      <c r="C1034" s="28"/>
      <c r="D1034" s="28"/>
      <c r="E1034" s="47"/>
    </row>
    <row r="1035">
      <c r="A1035" s="46"/>
      <c r="B1035" s="46"/>
      <c r="C1035" s="28"/>
      <c r="D1035" s="28"/>
      <c r="E1035" s="47"/>
    </row>
    <row r="1036">
      <c r="A1036" s="46"/>
      <c r="B1036" s="46"/>
      <c r="C1036" s="28"/>
      <c r="D1036" s="28"/>
      <c r="E1036" s="47"/>
    </row>
    <row r="1037">
      <c r="A1037" s="46"/>
      <c r="B1037" s="46"/>
      <c r="C1037" s="28"/>
      <c r="D1037" s="28"/>
      <c r="E1037" s="47"/>
    </row>
    <row r="1038">
      <c r="A1038" s="46"/>
      <c r="B1038" s="46"/>
      <c r="C1038" s="28"/>
      <c r="D1038" s="28"/>
      <c r="E1038" s="47"/>
    </row>
    <row r="1039">
      <c r="A1039" s="46"/>
      <c r="B1039" s="46"/>
      <c r="C1039" s="28"/>
      <c r="D1039" s="28"/>
      <c r="E1039" s="47"/>
    </row>
    <row r="1040">
      <c r="A1040" s="46"/>
      <c r="B1040" s="46"/>
      <c r="C1040" s="28"/>
      <c r="D1040" s="28"/>
      <c r="E1040" s="47"/>
    </row>
    <row r="1041">
      <c r="A1041" s="46"/>
      <c r="B1041" s="46"/>
      <c r="C1041" s="28"/>
      <c r="D1041" s="28"/>
      <c r="E1041" s="47"/>
    </row>
    <row r="1042">
      <c r="A1042" s="46"/>
      <c r="B1042" s="46"/>
      <c r="C1042" s="28"/>
      <c r="D1042" s="28"/>
      <c r="E1042" s="47"/>
    </row>
    <row r="1043">
      <c r="A1043" s="46"/>
      <c r="B1043" s="46"/>
      <c r="C1043" s="28"/>
      <c r="D1043" s="28"/>
      <c r="E1043" s="47"/>
    </row>
    <row r="1044">
      <c r="A1044" s="46"/>
      <c r="B1044" s="46"/>
      <c r="C1044" s="28"/>
      <c r="D1044" s="28"/>
      <c r="E1044" s="47"/>
    </row>
    <row r="1045">
      <c r="A1045" s="46"/>
      <c r="B1045" s="46"/>
      <c r="C1045" s="28"/>
      <c r="D1045" s="28"/>
      <c r="E1045" s="47"/>
    </row>
    <row r="1046">
      <c r="A1046" s="46"/>
      <c r="B1046" s="46"/>
      <c r="C1046" s="28"/>
      <c r="D1046" s="28"/>
      <c r="E1046" s="47"/>
    </row>
    <row r="1047">
      <c r="A1047" s="46"/>
      <c r="B1047" s="46"/>
      <c r="C1047" s="28"/>
      <c r="D1047" s="28"/>
      <c r="E1047" s="47"/>
    </row>
    <row r="1048">
      <c r="A1048" s="46"/>
      <c r="B1048" s="46"/>
      <c r="C1048" s="28"/>
      <c r="D1048" s="28"/>
      <c r="E1048" s="47"/>
    </row>
    <row r="1049">
      <c r="A1049" s="46"/>
      <c r="B1049" s="46"/>
      <c r="C1049" s="28"/>
      <c r="D1049" s="28"/>
      <c r="E1049" s="47"/>
    </row>
    <row r="1050">
      <c r="A1050" s="46"/>
      <c r="B1050" s="46"/>
      <c r="C1050" s="28"/>
      <c r="D1050" s="28"/>
      <c r="E1050" s="47"/>
    </row>
    <row r="1051">
      <c r="A1051" s="46"/>
      <c r="B1051" s="46"/>
      <c r="C1051" s="28"/>
      <c r="D1051" s="28"/>
      <c r="E1051" s="47"/>
    </row>
    <row r="1052">
      <c r="A1052" s="46"/>
      <c r="B1052" s="46"/>
      <c r="C1052" s="28"/>
      <c r="D1052" s="28"/>
      <c r="E1052" s="47"/>
    </row>
    <row r="1053">
      <c r="A1053" s="46"/>
      <c r="B1053" s="46"/>
      <c r="C1053" s="28"/>
      <c r="D1053" s="28"/>
      <c r="E1053" s="47"/>
    </row>
    <row r="1054">
      <c r="A1054" s="46"/>
      <c r="B1054" s="46"/>
      <c r="C1054" s="28"/>
      <c r="D1054" s="28"/>
      <c r="E1054" s="47"/>
    </row>
    <row r="1055">
      <c r="A1055" s="46"/>
      <c r="B1055" s="46"/>
      <c r="C1055" s="28"/>
      <c r="D1055" s="28"/>
      <c r="E1055" s="47"/>
    </row>
    <row r="1056">
      <c r="A1056" s="46"/>
      <c r="B1056" s="46"/>
      <c r="C1056" s="28"/>
      <c r="D1056" s="28"/>
      <c r="E1056" s="47"/>
    </row>
    <row r="1057">
      <c r="A1057" s="46"/>
      <c r="B1057" s="46"/>
      <c r="C1057" s="28"/>
      <c r="D1057" s="28"/>
      <c r="E1057" s="47"/>
    </row>
    <row r="1058">
      <c r="A1058" s="46"/>
      <c r="B1058" s="46"/>
      <c r="C1058" s="28"/>
      <c r="D1058" s="28"/>
      <c r="E1058" s="47"/>
    </row>
    <row r="1059">
      <c r="A1059" s="46"/>
      <c r="B1059" s="46"/>
      <c r="C1059" s="28"/>
      <c r="D1059" s="28"/>
      <c r="E1059" s="47"/>
    </row>
    <row r="1060">
      <c r="A1060" s="46"/>
      <c r="B1060" s="46"/>
      <c r="C1060" s="28"/>
      <c r="D1060" s="28"/>
      <c r="E1060" s="47"/>
    </row>
    <row r="1061">
      <c r="A1061" s="46"/>
      <c r="B1061" s="46"/>
      <c r="C1061" s="28"/>
      <c r="D1061" s="28"/>
      <c r="E1061" s="47"/>
    </row>
    <row r="1062">
      <c r="A1062" s="46"/>
      <c r="B1062" s="46"/>
      <c r="C1062" s="28"/>
      <c r="D1062" s="28"/>
      <c r="E1062" s="47"/>
    </row>
    <row r="1063">
      <c r="A1063" s="46"/>
      <c r="B1063" s="46"/>
      <c r="C1063" s="28"/>
      <c r="D1063" s="28"/>
      <c r="E1063" s="47"/>
    </row>
    <row r="1064">
      <c r="A1064" s="46"/>
      <c r="B1064" s="46"/>
      <c r="C1064" s="28"/>
      <c r="D1064" s="28"/>
      <c r="E1064" s="47"/>
    </row>
    <row r="1065">
      <c r="A1065" s="46"/>
      <c r="B1065" s="46"/>
      <c r="C1065" s="28"/>
      <c r="D1065" s="28"/>
      <c r="E1065" s="47"/>
    </row>
    <row r="1066">
      <c r="A1066" s="46"/>
      <c r="B1066" s="46"/>
      <c r="C1066" s="28"/>
      <c r="D1066" s="28"/>
      <c r="E1066" s="47"/>
    </row>
    <row r="1067">
      <c r="A1067" s="46"/>
      <c r="B1067" s="46"/>
      <c r="C1067" s="28"/>
      <c r="D1067" s="28"/>
      <c r="E1067" s="47"/>
    </row>
    <row r="1068">
      <c r="A1068" s="46"/>
      <c r="B1068" s="46"/>
      <c r="C1068" s="28"/>
      <c r="D1068" s="28"/>
      <c r="E1068" s="47"/>
    </row>
    <row r="1069">
      <c r="A1069" s="46"/>
      <c r="B1069" s="46"/>
      <c r="C1069" s="28"/>
      <c r="D1069" s="28"/>
      <c r="E1069" s="47"/>
    </row>
    <row r="1070">
      <c r="A1070" s="46"/>
      <c r="B1070" s="46"/>
      <c r="C1070" s="28"/>
      <c r="D1070" s="28"/>
      <c r="E1070" s="47"/>
    </row>
    <row r="1071">
      <c r="A1071" s="46"/>
      <c r="B1071" s="46"/>
      <c r="C1071" s="28"/>
      <c r="D1071" s="28"/>
      <c r="E1071" s="47"/>
    </row>
    <row r="1072">
      <c r="A1072" s="46"/>
      <c r="B1072" s="46"/>
      <c r="C1072" s="28"/>
      <c r="D1072" s="28"/>
      <c r="E1072" s="47"/>
    </row>
    <row r="1073">
      <c r="A1073" s="46"/>
      <c r="B1073" s="46"/>
      <c r="C1073" s="28"/>
      <c r="D1073" s="28"/>
      <c r="E1073" s="47"/>
    </row>
    <row r="1074">
      <c r="A1074" s="46"/>
      <c r="B1074" s="46"/>
      <c r="C1074" s="28"/>
      <c r="D1074" s="28"/>
      <c r="E1074" s="47"/>
    </row>
    <row r="1075">
      <c r="A1075" s="46"/>
      <c r="B1075" s="46"/>
      <c r="C1075" s="28"/>
      <c r="D1075" s="28"/>
      <c r="E1075" s="47"/>
    </row>
    <row r="1076">
      <c r="A1076" s="46"/>
      <c r="B1076" s="46"/>
      <c r="C1076" s="28"/>
      <c r="D1076" s="28"/>
      <c r="E1076" s="47"/>
    </row>
    <row r="1077">
      <c r="A1077" s="46"/>
      <c r="B1077" s="46"/>
      <c r="C1077" s="28"/>
      <c r="D1077" s="28"/>
      <c r="E1077" s="47"/>
    </row>
    <row r="1078">
      <c r="A1078" s="46"/>
      <c r="B1078" s="46"/>
      <c r="C1078" s="28"/>
      <c r="D1078" s="28"/>
      <c r="E1078" s="47"/>
    </row>
    <row r="1079">
      <c r="A1079" s="46"/>
      <c r="B1079" s="46"/>
      <c r="C1079" s="28"/>
      <c r="D1079" s="28"/>
      <c r="E1079" s="47"/>
    </row>
    <row r="1080">
      <c r="A1080" s="46"/>
      <c r="B1080" s="46"/>
      <c r="C1080" s="28"/>
      <c r="D1080" s="28"/>
      <c r="E1080" s="47"/>
    </row>
    <row r="1081">
      <c r="A1081" s="46"/>
      <c r="B1081" s="46"/>
      <c r="C1081" s="28"/>
      <c r="D1081" s="28"/>
      <c r="E1081" s="47"/>
    </row>
    <row r="1082">
      <c r="A1082" s="46"/>
      <c r="B1082" s="46"/>
      <c r="C1082" s="28"/>
      <c r="D1082" s="28"/>
      <c r="E1082" s="47"/>
    </row>
    <row r="1083">
      <c r="A1083" s="46"/>
      <c r="B1083" s="46"/>
      <c r="C1083" s="28"/>
      <c r="D1083" s="28"/>
      <c r="E1083" s="47"/>
    </row>
    <row r="1084">
      <c r="A1084" s="46"/>
      <c r="B1084" s="46"/>
      <c r="C1084" s="28"/>
      <c r="D1084" s="28"/>
      <c r="E1084" s="47"/>
    </row>
    <row r="1085">
      <c r="A1085" s="46"/>
      <c r="B1085" s="46"/>
      <c r="C1085" s="28"/>
      <c r="D1085" s="28"/>
      <c r="E1085" s="47"/>
    </row>
    <row r="1086">
      <c r="A1086" s="46"/>
      <c r="B1086" s="46"/>
      <c r="C1086" s="28"/>
      <c r="D1086" s="28"/>
      <c r="E1086" s="47"/>
    </row>
    <row r="1087">
      <c r="A1087" s="46"/>
      <c r="B1087" s="46"/>
      <c r="C1087" s="28"/>
      <c r="D1087" s="28"/>
      <c r="E1087" s="47"/>
    </row>
    <row r="1088">
      <c r="A1088" s="46"/>
      <c r="B1088" s="46"/>
      <c r="C1088" s="28"/>
      <c r="D1088" s="28"/>
      <c r="E1088" s="47"/>
    </row>
    <row r="1089">
      <c r="A1089" s="46"/>
      <c r="B1089" s="46"/>
      <c r="C1089" s="28"/>
      <c r="D1089" s="28"/>
      <c r="E1089" s="47"/>
    </row>
    <row r="1090">
      <c r="A1090" s="46"/>
      <c r="B1090" s="46"/>
      <c r="C1090" s="28"/>
      <c r="D1090" s="28"/>
      <c r="E1090" s="47"/>
    </row>
    <row r="1091">
      <c r="A1091" s="46"/>
      <c r="B1091" s="46"/>
      <c r="C1091" s="28"/>
      <c r="D1091" s="28"/>
      <c r="E1091" s="47"/>
    </row>
    <row r="1092">
      <c r="A1092" s="46"/>
      <c r="B1092" s="46"/>
      <c r="C1092" s="28"/>
      <c r="D1092" s="28"/>
      <c r="E1092" s="47"/>
    </row>
    <row r="1093">
      <c r="A1093" s="46"/>
      <c r="B1093" s="46"/>
      <c r="C1093" s="28"/>
      <c r="D1093" s="28"/>
      <c r="E1093" s="47"/>
    </row>
    <row r="1094">
      <c r="A1094" s="46"/>
      <c r="B1094" s="46"/>
      <c r="C1094" s="28"/>
      <c r="D1094" s="28"/>
      <c r="E1094" s="47"/>
    </row>
    <row r="1095">
      <c r="A1095" s="46"/>
      <c r="B1095" s="46"/>
      <c r="C1095" s="28"/>
      <c r="D1095" s="28"/>
      <c r="E1095" s="47"/>
    </row>
    <row r="1096">
      <c r="A1096" s="46"/>
      <c r="B1096" s="46"/>
      <c r="C1096" s="28"/>
      <c r="D1096" s="28"/>
      <c r="E1096" s="47"/>
    </row>
    <row r="1097">
      <c r="A1097" s="46"/>
      <c r="B1097" s="46"/>
      <c r="C1097" s="28"/>
      <c r="D1097" s="28"/>
      <c r="E1097" s="47"/>
    </row>
    <row r="1098">
      <c r="A1098" s="46"/>
      <c r="B1098" s="46"/>
      <c r="C1098" s="28"/>
      <c r="D1098" s="28"/>
      <c r="E1098" s="47"/>
    </row>
    <row r="1099">
      <c r="A1099" s="46"/>
      <c r="B1099" s="46"/>
      <c r="C1099" s="28"/>
      <c r="D1099" s="28"/>
      <c r="E1099" s="47"/>
    </row>
    <row r="1100">
      <c r="A1100" s="46"/>
      <c r="B1100" s="46"/>
      <c r="C1100" s="28"/>
      <c r="D1100" s="28"/>
      <c r="E1100" s="47"/>
    </row>
    <row r="1101">
      <c r="A1101" s="46"/>
      <c r="B1101" s="46"/>
      <c r="C1101" s="28"/>
      <c r="D1101" s="28"/>
      <c r="E1101" s="47"/>
    </row>
    <row r="1102">
      <c r="A1102" s="46"/>
      <c r="B1102" s="46"/>
      <c r="C1102" s="28"/>
      <c r="D1102" s="28"/>
      <c r="E1102" s="47"/>
    </row>
    <row r="1103">
      <c r="A1103" s="46"/>
      <c r="B1103" s="46"/>
      <c r="C1103" s="28"/>
      <c r="D1103" s="28"/>
      <c r="E1103" s="47"/>
    </row>
    <row r="1104">
      <c r="A1104" s="46"/>
      <c r="B1104" s="46"/>
      <c r="C1104" s="28"/>
      <c r="D1104" s="28"/>
      <c r="E1104" s="47"/>
    </row>
    <row r="1105">
      <c r="A1105" s="46"/>
      <c r="B1105" s="46"/>
      <c r="C1105" s="28"/>
      <c r="D1105" s="28"/>
      <c r="E1105" s="47"/>
    </row>
    <row r="1106">
      <c r="A1106" s="46"/>
      <c r="B1106" s="46"/>
      <c r="C1106" s="28"/>
      <c r="D1106" s="28"/>
      <c r="E1106" s="47"/>
    </row>
    <row r="1107">
      <c r="A1107" s="46"/>
      <c r="B1107" s="46"/>
      <c r="C1107" s="28"/>
      <c r="D1107" s="28"/>
      <c r="E1107" s="47"/>
    </row>
    <row r="1108">
      <c r="A1108" s="46"/>
      <c r="B1108" s="46"/>
      <c r="C1108" s="28"/>
      <c r="D1108" s="28"/>
      <c r="E1108" s="47"/>
    </row>
    <row r="1109">
      <c r="A1109" s="46"/>
      <c r="B1109" s="46"/>
      <c r="C1109" s="28"/>
      <c r="D1109" s="28"/>
      <c r="E1109" s="47"/>
    </row>
    <row r="1110">
      <c r="A1110" s="46"/>
      <c r="B1110" s="46"/>
      <c r="C1110" s="28"/>
      <c r="D1110" s="28"/>
      <c r="E1110" s="47"/>
    </row>
    <row r="1111">
      <c r="A1111" s="46"/>
      <c r="B1111" s="46"/>
      <c r="C1111" s="28"/>
      <c r="D1111" s="28"/>
      <c r="E1111" s="47"/>
    </row>
    <row r="1112">
      <c r="A1112" s="46"/>
      <c r="B1112" s="46"/>
      <c r="C1112" s="28"/>
      <c r="D1112" s="28"/>
      <c r="E1112" s="47"/>
    </row>
    <row r="1113">
      <c r="A1113" s="46"/>
      <c r="B1113" s="46"/>
      <c r="C1113" s="28"/>
      <c r="D1113" s="28"/>
      <c r="E1113" s="47"/>
    </row>
    <row r="1114">
      <c r="A1114" s="46"/>
      <c r="B1114" s="46"/>
      <c r="C1114" s="28"/>
      <c r="D1114" s="28"/>
      <c r="E1114" s="47"/>
    </row>
    <row r="1115">
      <c r="A1115" s="46"/>
      <c r="B1115" s="46"/>
      <c r="C1115" s="28"/>
      <c r="D1115" s="28"/>
      <c r="E1115" s="47"/>
    </row>
    <row r="1116">
      <c r="A1116" s="46"/>
      <c r="B1116" s="46"/>
      <c r="C1116" s="28"/>
      <c r="D1116" s="28"/>
      <c r="E1116" s="47"/>
    </row>
    <row r="1117">
      <c r="A1117" s="46"/>
      <c r="B1117" s="46"/>
      <c r="C1117" s="28"/>
      <c r="D1117" s="28"/>
      <c r="E1117" s="47"/>
    </row>
    <row r="1118">
      <c r="A1118" s="46"/>
      <c r="B1118" s="46"/>
      <c r="C1118" s="28"/>
      <c r="D1118" s="28"/>
      <c r="E1118" s="47"/>
    </row>
    <row r="1119">
      <c r="A1119" s="46"/>
      <c r="B1119" s="46"/>
      <c r="C1119" s="28"/>
      <c r="D1119" s="28"/>
      <c r="E1119" s="47"/>
    </row>
    <row r="1120">
      <c r="A1120" s="46"/>
      <c r="B1120" s="46"/>
      <c r="C1120" s="28"/>
      <c r="D1120" s="28"/>
      <c r="E1120" s="47"/>
    </row>
    <row r="1121">
      <c r="A1121" s="46"/>
      <c r="B1121" s="46"/>
      <c r="C1121" s="28"/>
      <c r="D1121" s="28"/>
      <c r="E1121" s="47"/>
    </row>
    <row r="1122">
      <c r="A1122" s="46"/>
      <c r="B1122" s="46"/>
      <c r="C1122" s="28"/>
      <c r="D1122" s="28"/>
      <c r="E1122" s="47"/>
    </row>
    <row r="1123">
      <c r="A1123" s="46"/>
      <c r="B1123" s="46"/>
      <c r="C1123" s="28"/>
      <c r="D1123" s="28"/>
      <c r="E1123" s="47"/>
    </row>
    <row r="1124">
      <c r="A1124" s="46"/>
      <c r="B1124" s="46"/>
      <c r="C1124" s="28"/>
      <c r="D1124" s="28"/>
      <c r="E1124" s="47"/>
    </row>
    <row r="1125">
      <c r="A1125" s="46"/>
      <c r="B1125" s="46"/>
      <c r="C1125" s="28"/>
      <c r="D1125" s="28"/>
      <c r="E1125" s="47"/>
    </row>
    <row r="1126">
      <c r="A1126" s="46"/>
      <c r="B1126" s="46"/>
      <c r="C1126" s="28"/>
      <c r="D1126" s="28"/>
      <c r="E1126" s="47"/>
    </row>
    <row r="1127">
      <c r="A1127" s="46"/>
      <c r="B1127" s="46"/>
      <c r="C1127" s="28"/>
      <c r="D1127" s="28"/>
      <c r="E1127" s="47"/>
    </row>
    <row r="1128">
      <c r="A1128" s="46"/>
      <c r="B1128" s="46"/>
      <c r="C1128" s="28"/>
      <c r="D1128" s="28"/>
      <c r="E1128" s="47"/>
    </row>
    <row r="1129">
      <c r="A1129" s="46"/>
      <c r="B1129" s="46"/>
      <c r="C1129" s="28"/>
      <c r="D1129" s="28"/>
      <c r="E1129" s="47"/>
    </row>
    <row r="1130">
      <c r="A1130" s="46"/>
      <c r="B1130" s="46"/>
      <c r="C1130" s="28"/>
      <c r="D1130" s="28"/>
      <c r="E1130" s="47"/>
    </row>
    <row r="1131">
      <c r="A1131" s="46"/>
      <c r="B1131" s="46"/>
      <c r="C1131" s="28"/>
      <c r="D1131" s="28"/>
      <c r="E1131" s="47"/>
    </row>
    <row r="1132">
      <c r="A1132" s="46"/>
      <c r="B1132" s="46"/>
      <c r="C1132" s="28"/>
      <c r="D1132" s="28"/>
      <c r="E1132" s="47"/>
    </row>
    <row r="1133">
      <c r="A1133" s="46"/>
      <c r="B1133" s="46"/>
      <c r="C1133" s="28"/>
      <c r="D1133" s="28"/>
      <c r="E1133" s="47"/>
    </row>
    <row r="1134">
      <c r="A1134" s="46"/>
      <c r="B1134" s="46"/>
      <c r="C1134" s="28"/>
      <c r="D1134" s="28"/>
      <c r="E1134" s="47"/>
    </row>
    <row r="1135">
      <c r="A1135" s="46"/>
      <c r="B1135" s="46"/>
      <c r="C1135" s="28"/>
      <c r="D1135" s="28"/>
      <c r="E1135" s="47"/>
    </row>
    <row r="1136">
      <c r="A1136" s="46"/>
      <c r="B1136" s="46"/>
      <c r="C1136" s="28"/>
      <c r="D1136" s="28"/>
      <c r="E1136" s="47"/>
    </row>
    <row r="1137">
      <c r="A1137" s="46"/>
      <c r="B1137" s="46"/>
      <c r="C1137" s="28"/>
      <c r="D1137" s="28"/>
      <c r="E1137" s="47"/>
    </row>
    <row r="1138">
      <c r="A1138" s="46"/>
      <c r="B1138" s="46"/>
      <c r="C1138" s="28"/>
      <c r="D1138" s="28"/>
      <c r="E1138" s="47"/>
    </row>
    <row r="1139">
      <c r="A1139" s="46"/>
      <c r="B1139" s="46"/>
      <c r="C1139" s="28"/>
      <c r="D1139" s="28"/>
      <c r="E1139" s="47"/>
    </row>
    <row r="1140">
      <c r="A1140" s="46"/>
      <c r="B1140" s="46"/>
      <c r="C1140" s="28"/>
      <c r="D1140" s="28"/>
      <c r="E1140" s="47"/>
    </row>
    <row r="1141">
      <c r="A1141" s="46"/>
      <c r="B1141" s="46"/>
      <c r="C1141" s="28"/>
      <c r="D1141" s="28"/>
      <c r="E1141" s="47"/>
    </row>
    <row r="1142">
      <c r="A1142" s="46"/>
      <c r="B1142" s="46"/>
      <c r="C1142" s="28"/>
      <c r="D1142" s="28"/>
      <c r="E1142" s="47"/>
    </row>
    <row r="1143">
      <c r="A1143" s="46"/>
      <c r="B1143" s="46"/>
      <c r="C1143" s="28"/>
      <c r="D1143" s="28"/>
      <c r="E1143" s="47"/>
    </row>
    <row r="1144">
      <c r="A1144" s="46"/>
      <c r="B1144" s="46"/>
      <c r="C1144" s="28"/>
      <c r="D1144" s="28"/>
      <c r="E1144" s="47"/>
    </row>
    <row r="1145">
      <c r="A1145" s="46"/>
      <c r="B1145" s="46"/>
      <c r="C1145" s="28"/>
      <c r="D1145" s="28"/>
      <c r="E1145" s="47"/>
    </row>
    <row r="1146">
      <c r="A1146" s="46"/>
      <c r="B1146" s="46"/>
      <c r="C1146" s="28"/>
      <c r="D1146" s="28"/>
      <c r="E1146" s="47"/>
    </row>
    <row r="1147">
      <c r="A1147" s="46"/>
      <c r="B1147" s="46"/>
      <c r="C1147" s="28"/>
      <c r="D1147" s="28"/>
      <c r="E1147" s="47"/>
    </row>
    <row r="1148">
      <c r="A1148" s="46"/>
      <c r="B1148" s="46"/>
      <c r="C1148" s="28"/>
      <c r="D1148" s="28"/>
      <c r="E1148" s="47"/>
    </row>
    <row r="1149">
      <c r="A1149" s="46"/>
      <c r="B1149" s="46"/>
      <c r="C1149" s="28"/>
      <c r="D1149" s="28"/>
      <c r="E1149" s="47"/>
    </row>
    <row r="1150">
      <c r="A1150" s="46"/>
      <c r="B1150" s="46"/>
      <c r="C1150" s="28"/>
      <c r="D1150" s="28"/>
      <c r="E1150" s="47"/>
    </row>
    <row r="1151">
      <c r="A1151" s="46"/>
      <c r="B1151" s="46"/>
      <c r="C1151" s="28"/>
      <c r="D1151" s="28"/>
      <c r="E1151" s="47"/>
    </row>
    <row r="1152">
      <c r="A1152" s="46"/>
      <c r="B1152" s="46"/>
      <c r="C1152" s="28"/>
      <c r="D1152" s="28"/>
      <c r="E1152" s="47"/>
    </row>
    <row r="1153">
      <c r="A1153" s="46"/>
      <c r="B1153" s="46"/>
      <c r="C1153" s="28"/>
      <c r="D1153" s="28"/>
      <c r="E1153" s="47"/>
    </row>
    <row r="1154">
      <c r="A1154" s="46"/>
      <c r="B1154" s="46"/>
      <c r="C1154" s="28"/>
      <c r="D1154" s="28"/>
      <c r="E1154" s="47"/>
    </row>
    <row r="1155">
      <c r="A1155" s="46"/>
      <c r="B1155" s="46"/>
      <c r="C1155" s="28"/>
      <c r="D1155" s="28"/>
      <c r="E1155" s="47"/>
    </row>
    <row r="1156">
      <c r="A1156" s="46"/>
      <c r="B1156" s="46"/>
      <c r="C1156" s="28"/>
      <c r="D1156" s="28"/>
      <c r="E1156" s="47"/>
    </row>
    <row r="1157">
      <c r="A1157" s="46"/>
      <c r="B1157" s="46"/>
      <c r="C1157" s="28"/>
      <c r="D1157" s="28"/>
      <c r="E1157" s="47"/>
    </row>
    <row r="1158">
      <c r="A1158" s="46"/>
      <c r="B1158" s="46"/>
      <c r="C1158" s="28"/>
      <c r="D1158" s="28"/>
      <c r="E1158" s="47"/>
    </row>
    <row r="1159">
      <c r="A1159" s="46"/>
      <c r="B1159" s="46"/>
      <c r="C1159" s="28"/>
      <c r="D1159" s="28"/>
      <c r="E1159" s="47"/>
    </row>
    <row r="1160">
      <c r="A1160" s="46"/>
      <c r="B1160" s="46"/>
      <c r="C1160" s="28"/>
      <c r="D1160" s="28"/>
      <c r="E1160" s="47"/>
    </row>
    <row r="1161">
      <c r="A1161" s="46"/>
      <c r="B1161" s="46"/>
      <c r="C1161" s="28"/>
      <c r="D1161" s="28"/>
      <c r="E1161" s="47"/>
    </row>
    <row r="1162">
      <c r="A1162" s="46"/>
      <c r="B1162" s="46"/>
      <c r="C1162" s="28"/>
      <c r="D1162" s="28"/>
      <c r="E1162" s="47"/>
    </row>
    <row r="1163">
      <c r="A1163" s="46"/>
      <c r="B1163" s="46"/>
      <c r="C1163" s="28"/>
      <c r="D1163" s="28"/>
      <c r="E1163" s="47"/>
    </row>
    <row r="1164">
      <c r="A1164" s="46"/>
      <c r="B1164" s="46"/>
      <c r="C1164" s="28"/>
      <c r="D1164" s="28"/>
      <c r="E1164" s="47"/>
    </row>
    <row r="1165">
      <c r="A1165" s="46"/>
      <c r="B1165" s="46"/>
      <c r="C1165" s="28"/>
      <c r="D1165" s="28"/>
      <c r="E1165" s="47"/>
    </row>
    <row r="1166">
      <c r="A1166" s="46"/>
      <c r="B1166" s="46"/>
      <c r="C1166" s="28"/>
      <c r="D1166" s="28"/>
      <c r="E1166" s="47"/>
    </row>
    <row r="1167">
      <c r="A1167" s="46"/>
      <c r="B1167" s="46"/>
      <c r="C1167" s="28"/>
      <c r="D1167" s="28"/>
      <c r="E1167" s="47"/>
    </row>
    <row r="1168">
      <c r="A1168" s="46"/>
      <c r="B1168" s="46"/>
      <c r="C1168" s="28"/>
      <c r="D1168" s="28"/>
      <c r="E1168" s="47"/>
    </row>
    <row r="1169">
      <c r="A1169" s="46"/>
      <c r="B1169" s="46"/>
      <c r="C1169" s="28"/>
      <c r="D1169" s="28"/>
      <c r="E1169" s="47"/>
    </row>
    <row r="1170">
      <c r="A1170" s="46"/>
      <c r="B1170" s="46"/>
      <c r="C1170" s="28"/>
      <c r="D1170" s="28"/>
      <c r="E1170" s="47"/>
    </row>
    <row r="1171">
      <c r="A1171" s="46"/>
      <c r="B1171" s="46"/>
      <c r="C1171" s="28"/>
      <c r="D1171" s="28"/>
      <c r="E1171" s="47"/>
    </row>
    <row r="1172">
      <c r="A1172" s="46"/>
      <c r="B1172" s="46"/>
      <c r="C1172" s="28"/>
      <c r="D1172" s="28"/>
      <c r="E1172" s="47"/>
    </row>
    <row r="1173">
      <c r="A1173" s="46"/>
      <c r="B1173" s="46"/>
      <c r="C1173" s="28"/>
      <c r="D1173" s="28"/>
      <c r="E1173" s="47"/>
    </row>
    <row r="1174">
      <c r="A1174" s="46"/>
      <c r="B1174" s="46"/>
      <c r="C1174" s="28"/>
      <c r="D1174" s="28"/>
      <c r="E1174" s="47"/>
    </row>
    <row r="1175">
      <c r="A1175" s="46"/>
      <c r="B1175" s="46"/>
      <c r="C1175" s="28"/>
      <c r="D1175" s="28"/>
      <c r="E1175" s="47"/>
    </row>
    <row r="1176">
      <c r="A1176" s="46"/>
      <c r="B1176" s="46"/>
      <c r="C1176" s="28"/>
      <c r="D1176" s="28"/>
      <c r="E1176" s="47"/>
    </row>
    <row r="1177">
      <c r="A1177" s="46"/>
      <c r="B1177" s="46"/>
      <c r="C1177" s="28"/>
      <c r="D1177" s="28"/>
      <c r="E1177" s="47"/>
    </row>
    <row r="1178">
      <c r="A1178" s="46"/>
      <c r="B1178" s="46"/>
      <c r="C1178" s="28"/>
      <c r="D1178" s="28"/>
      <c r="E1178" s="47"/>
    </row>
    <row r="1179">
      <c r="A1179" s="46"/>
      <c r="B1179" s="46"/>
      <c r="C1179" s="28"/>
      <c r="D1179" s="28"/>
      <c r="E1179" s="47"/>
    </row>
    <row r="1180">
      <c r="A1180" s="46"/>
      <c r="B1180" s="46"/>
      <c r="C1180" s="28"/>
      <c r="D1180" s="28"/>
      <c r="E1180" s="47"/>
    </row>
    <row r="1181">
      <c r="A1181" s="46"/>
      <c r="B1181" s="46"/>
      <c r="C1181" s="28"/>
      <c r="D1181" s="28"/>
      <c r="E1181" s="47"/>
    </row>
    <row r="1182">
      <c r="A1182" s="46"/>
      <c r="B1182" s="46"/>
      <c r="C1182" s="28"/>
      <c r="D1182" s="28"/>
      <c r="E1182" s="47"/>
    </row>
    <row r="1183">
      <c r="A1183" s="46"/>
      <c r="B1183" s="46"/>
      <c r="C1183" s="28"/>
      <c r="D1183" s="28"/>
      <c r="E1183" s="47"/>
    </row>
    <row r="1184">
      <c r="A1184" s="46"/>
      <c r="B1184" s="46"/>
      <c r="C1184" s="28"/>
      <c r="D1184" s="28"/>
      <c r="E1184" s="47"/>
    </row>
    <row r="1185">
      <c r="A1185" s="46"/>
      <c r="B1185" s="46"/>
      <c r="C1185" s="28"/>
      <c r="D1185" s="28"/>
      <c r="E1185" s="47"/>
    </row>
    <row r="1186">
      <c r="A1186" s="46"/>
      <c r="B1186" s="46"/>
      <c r="C1186" s="28"/>
      <c r="D1186" s="28"/>
      <c r="E1186" s="47"/>
    </row>
    <row r="1187">
      <c r="A1187" s="46"/>
      <c r="B1187" s="46"/>
      <c r="C1187" s="28"/>
      <c r="D1187" s="28"/>
      <c r="E1187" s="47"/>
    </row>
    <row r="1188">
      <c r="A1188" s="46"/>
      <c r="B1188" s="46"/>
      <c r="C1188" s="28"/>
      <c r="D1188" s="28"/>
      <c r="E1188" s="47"/>
    </row>
    <row r="1189">
      <c r="A1189" s="46"/>
      <c r="B1189" s="46"/>
      <c r="C1189" s="28"/>
      <c r="D1189" s="28"/>
      <c r="E1189" s="47"/>
    </row>
    <row r="1190">
      <c r="A1190" s="46"/>
      <c r="B1190" s="46"/>
      <c r="C1190" s="28"/>
      <c r="D1190" s="28"/>
      <c r="E1190" s="47"/>
    </row>
    <row r="1191">
      <c r="A1191" s="46"/>
      <c r="B1191" s="46"/>
      <c r="C1191" s="28"/>
      <c r="D1191" s="28"/>
      <c r="E1191" s="47"/>
    </row>
    <row r="1192">
      <c r="A1192" s="46"/>
      <c r="B1192" s="46"/>
      <c r="C1192" s="28"/>
      <c r="D1192" s="28"/>
      <c r="E1192" s="47"/>
    </row>
    <row r="1193">
      <c r="A1193" s="46"/>
      <c r="B1193" s="46"/>
      <c r="C1193" s="28"/>
      <c r="D1193" s="28"/>
      <c r="E1193" s="47"/>
    </row>
    <row r="1194">
      <c r="A1194" s="46"/>
      <c r="B1194" s="46"/>
      <c r="C1194" s="28"/>
      <c r="D1194" s="28"/>
      <c r="E1194" s="47"/>
    </row>
    <row r="1195">
      <c r="A1195" s="46"/>
      <c r="B1195" s="46"/>
      <c r="C1195" s="28"/>
      <c r="D1195" s="28"/>
      <c r="E1195" s="47"/>
    </row>
    <row r="1196">
      <c r="A1196" s="46"/>
      <c r="B1196" s="46"/>
      <c r="C1196" s="28"/>
      <c r="D1196" s="28"/>
      <c r="E1196" s="47"/>
    </row>
    <row r="1197">
      <c r="A1197" s="46"/>
      <c r="B1197" s="46"/>
      <c r="C1197" s="28"/>
      <c r="D1197" s="28"/>
      <c r="E1197" s="47"/>
    </row>
    <row r="1198">
      <c r="A1198" s="46"/>
      <c r="B1198" s="46"/>
      <c r="C1198" s="28"/>
      <c r="D1198" s="28"/>
      <c r="E1198" s="47"/>
    </row>
    <row r="1199">
      <c r="A1199" s="46"/>
      <c r="B1199" s="46"/>
      <c r="C1199" s="28"/>
      <c r="D1199" s="28"/>
      <c r="E1199" s="47"/>
    </row>
    <row r="1200">
      <c r="A1200" s="46"/>
      <c r="B1200" s="46"/>
      <c r="C1200" s="28"/>
      <c r="D1200" s="28"/>
      <c r="E1200" s="47"/>
    </row>
    <row r="1201">
      <c r="A1201" s="46"/>
      <c r="B1201" s="46"/>
      <c r="C1201" s="28"/>
      <c r="D1201" s="28"/>
      <c r="E1201" s="47"/>
    </row>
    <row r="1202">
      <c r="A1202" s="46"/>
      <c r="B1202" s="46"/>
      <c r="C1202" s="28"/>
      <c r="D1202" s="28"/>
      <c r="E1202" s="47"/>
    </row>
    <row r="1203">
      <c r="A1203" s="46"/>
      <c r="B1203" s="46"/>
      <c r="C1203" s="28"/>
      <c r="D1203" s="28"/>
      <c r="E1203" s="47"/>
    </row>
    <row r="1204">
      <c r="A1204" s="46"/>
      <c r="B1204" s="46"/>
      <c r="C1204" s="28"/>
      <c r="D1204" s="28"/>
      <c r="E1204" s="47"/>
    </row>
    <row r="1205">
      <c r="A1205" s="46"/>
      <c r="B1205" s="46"/>
      <c r="C1205" s="28"/>
      <c r="D1205" s="28"/>
      <c r="E1205" s="47"/>
    </row>
    <row r="1206">
      <c r="A1206" s="46"/>
      <c r="B1206" s="46"/>
      <c r="C1206" s="28"/>
      <c r="D1206" s="28"/>
      <c r="E1206" s="47"/>
    </row>
    <row r="1207">
      <c r="A1207" s="46"/>
      <c r="B1207" s="46"/>
      <c r="C1207" s="28"/>
      <c r="D1207" s="28"/>
      <c r="E1207" s="47"/>
    </row>
    <row r="1208">
      <c r="A1208" s="46"/>
      <c r="B1208" s="46"/>
      <c r="C1208" s="28"/>
      <c r="D1208" s="28"/>
      <c r="E1208" s="47"/>
    </row>
    <row r="1209">
      <c r="A1209" s="46"/>
      <c r="B1209" s="46"/>
      <c r="C1209" s="28"/>
      <c r="D1209" s="28"/>
      <c r="E1209" s="47"/>
    </row>
    <row r="1210">
      <c r="A1210" s="46"/>
      <c r="B1210" s="46"/>
      <c r="C1210" s="28"/>
      <c r="D1210" s="28"/>
      <c r="E1210" s="47"/>
    </row>
    <row r="1211">
      <c r="A1211" s="46"/>
      <c r="B1211" s="46"/>
      <c r="C1211" s="28"/>
      <c r="D1211" s="28"/>
      <c r="E1211" s="47"/>
    </row>
    <row r="1212">
      <c r="A1212" s="46"/>
      <c r="B1212" s="46"/>
      <c r="C1212" s="28"/>
      <c r="D1212" s="28"/>
      <c r="E1212" s="47"/>
    </row>
    <row r="1213">
      <c r="A1213" s="46"/>
      <c r="B1213" s="46"/>
      <c r="C1213" s="28"/>
      <c r="D1213" s="28"/>
      <c r="E1213" s="47"/>
    </row>
    <row r="1214">
      <c r="A1214" s="46"/>
      <c r="B1214" s="46"/>
      <c r="C1214" s="28"/>
      <c r="D1214" s="28"/>
      <c r="E1214" s="47"/>
    </row>
    <row r="1215">
      <c r="A1215" s="46"/>
      <c r="B1215" s="46"/>
      <c r="C1215" s="28"/>
      <c r="D1215" s="28"/>
      <c r="E1215" s="47"/>
    </row>
    <row r="1216">
      <c r="A1216" s="46"/>
      <c r="B1216" s="46"/>
      <c r="C1216" s="28"/>
      <c r="D1216" s="28"/>
      <c r="E1216" s="47"/>
    </row>
    <row r="1217">
      <c r="A1217" s="46"/>
      <c r="B1217" s="46"/>
      <c r="C1217" s="28"/>
      <c r="D1217" s="28"/>
      <c r="E1217" s="47"/>
    </row>
    <row r="1218">
      <c r="A1218" s="46"/>
      <c r="B1218" s="46"/>
      <c r="C1218" s="28"/>
      <c r="D1218" s="28"/>
      <c r="E1218" s="47"/>
    </row>
    <row r="1219">
      <c r="A1219" s="46"/>
      <c r="B1219" s="46"/>
      <c r="C1219" s="28"/>
      <c r="D1219" s="28"/>
      <c r="E1219" s="47"/>
    </row>
    <row r="1220">
      <c r="A1220" s="46"/>
      <c r="B1220" s="46"/>
      <c r="C1220" s="28"/>
      <c r="D1220" s="28"/>
      <c r="E1220" s="47"/>
    </row>
    <row r="1221">
      <c r="A1221" s="46"/>
      <c r="B1221" s="46"/>
      <c r="C1221" s="28"/>
      <c r="D1221" s="28"/>
      <c r="E1221" s="47"/>
    </row>
    <row r="1222">
      <c r="A1222" s="46"/>
      <c r="B1222" s="46"/>
      <c r="C1222" s="28"/>
      <c r="D1222" s="28"/>
      <c r="E1222" s="47"/>
    </row>
    <row r="1223">
      <c r="A1223" s="46"/>
      <c r="B1223" s="46"/>
      <c r="C1223" s="28"/>
      <c r="D1223" s="28"/>
      <c r="E1223" s="47"/>
    </row>
    <row r="1224">
      <c r="A1224" s="46"/>
      <c r="B1224" s="46"/>
      <c r="C1224" s="28"/>
      <c r="D1224" s="28"/>
      <c r="E1224" s="47"/>
    </row>
    <row r="1225">
      <c r="A1225" s="46"/>
      <c r="B1225" s="46"/>
      <c r="C1225" s="28"/>
      <c r="D1225" s="28"/>
      <c r="E1225" s="47"/>
    </row>
    <row r="1226">
      <c r="A1226" s="46"/>
      <c r="B1226" s="46"/>
      <c r="C1226" s="28"/>
      <c r="D1226" s="28"/>
      <c r="E1226" s="47"/>
    </row>
    <row r="1227">
      <c r="A1227" s="46"/>
      <c r="B1227" s="46"/>
      <c r="C1227" s="28"/>
      <c r="D1227" s="28"/>
      <c r="E1227" s="47"/>
    </row>
    <row r="1228">
      <c r="A1228" s="46"/>
      <c r="B1228" s="46"/>
      <c r="C1228" s="28"/>
      <c r="D1228" s="28"/>
      <c r="E1228" s="47"/>
    </row>
    <row r="1229">
      <c r="A1229" s="46"/>
      <c r="B1229" s="46"/>
      <c r="C1229" s="28"/>
      <c r="D1229" s="28"/>
      <c r="E1229" s="47"/>
    </row>
    <row r="1230">
      <c r="A1230" s="46"/>
      <c r="B1230" s="46"/>
      <c r="C1230" s="28"/>
      <c r="D1230" s="28"/>
      <c r="E1230" s="47"/>
    </row>
    <row r="1231">
      <c r="A1231" s="46"/>
      <c r="B1231" s="46"/>
      <c r="C1231" s="28"/>
      <c r="D1231" s="28"/>
      <c r="E1231" s="47"/>
    </row>
    <row r="1232">
      <c r="A1232" s="46"/>
      <c r="B1232" s="46"/>
      <c r="C1232" s="28"/>
      <c r="D1232" s="28"/>
      <c r="E1232" s="47"/>
    </row>
    <row r="1233">
      <c r="A1233" s="46"/>
      <c r="B1233" s="46"/>
      <c r="C1233" s="28"/>
      <c r="D1233" s="28"/>
      <c r="E1233" s="47"/>
    </row>
    <row r="1234">
      <c r="A1234" s="46"/>
      <c r="B1234" s="46"/>
      <c r="C1234" s="28"/>
      <c r="D1234" s="28"/>
      <c r="E1234" s="47"/>
    </row>
    <row r="1235">
      <c r="A1235" s="46"/>
      <c r="B1235" s="46"/>
      <c r="C1235" s="28"/>
      <c r="D1235" s="28"/>
      <c r="E1235" s="47"/>
    </row>
    <row r="1236">
      <c r="A1236" s="46"/>
      <c r="B1236" s="46"/>
      <c r="C1236" s="28"/>
      <c r="D1236" s="28"/>
      <c r="E1236" s="47"/>
    </row>
    <row r="1237">
      <c r="A1237" s="46"/>
      <c r="B1237" s="46"/>
      <c r="C1237" s="28"/>
      <c r="D1237" s="28"/>
      <c r="E1237" s="47"/>
    </row>
    <row r="1238">
      <c r="A1238" s="46"/>
      <c r="B1238" s="46"/>
      <c r="C1238" s="28"/>
      <c r="D1238" s="28"/>
      <c r="E1238" s="47"/>
    </row>
    <row r="1239">
      <c r="A1239" s="46"/>
      <c r="B1239" s="46"/>
      <c r="C1239" s="28"/>
      <c r="D1239" s="28"/>
      <c r="E1239" s="47"/>
    </row>
    <row r="1240">
      <c r="A1240" s="46"/>
      <c r="B1240" s="46"/>
      <c r="C1240" s="28"/>
      <c r="D1240" s="28"/>
      <c r="E1240" s="47"/>
    </row>
    <row r="1241">
      <c r="A1241" s="46"/>
      <c r="B1241" s="46"/>
      <c r="C1241" s="28"/>
      <c r="D1241" s="28"/>
      <c r="E1241" s="47"/>
    </row>
    <row r="1242">
      <c r="A1242" s="46"/>
      <c r="B1242" s="46"/>
      <c r="C1242" s="28"/>
      <c r="D1242" s="28"/>
      <c r="E1242" s="47"/>
    </row>
    <row r="1243">
      <c r="A1243" s="46"/>
      <c r="B1243" s="46"/>
      <c r="C1243" s="28"/>
      <c r="D1243" s="28"/>
      <c r="E1243" s="47"/>
    </row>
    <row r="1244">
      <c r="A1244" s="46"/>
      <c r="B1244" s="46"/>
      <c r="C1244" s="28"/>
      <c r="D1244" s="28"/>
      <c r="E1244" s="47"/>
    </row>
    <row r="1245">
      <c r="A1245" s="46"/>
      <c r="B1245" s="46"/>
      <c r="C1245" s="28"/>
      <c r="D1245" s="28"/>
      <c r="E1245" s="47"/>
    </row>
    <row r="1246">
      <c r="A1246" s="46"/>
      <c r="B1246" s="46"/>
      <c r="C1246" s="28"/>
      <c r="D1246" s="28"/>
      <c r="E1246" s="47"/>
    </row>
    <row r="1247">
      <c r="A1247" s="46"/>
      <c r="B1247" s="46"/>
      <c r="C1247" s="28"/>
      <c r="D1247" s="28"/>
      <c r="E1247" s="47"/>
    </row>
    <row r="1248">
      <c r="A1248" s="46"/>
      <c r="B1248" s="46"/>
      <c r="C1248" s="28"/>
      <c r="D1248" s="28"/>
      <c r="E1248" s="47"/>
    </row>
    <row r="1249">
      <c r="A1249" s="46"/>
      <c r="B1249" s="46"/>
      <c r="C1249" s="28"/>
      <c r="D1249" s="28"/>
      <c r="E1249" s="47"/>
    </row>
    <row r="1250">
      <c r="A1250" s="46"/>
      <c r="B1250" s="46"/>
      <c r="C1250" s="28"/>
      <c r="D1250" s="28"/>
      <c r="E1250" s="47"/>
    </row>
    <row r="1251">
      <c r="A1251" s="46"/>
      <c r="B1251" s="46"/>
      <c r="C1251" s="28"/>
      <c r="D1251" s="28"/>
      <c r="E1251" s="47"/>
    </row>
    <row r="1252">
      <c r="A1252" s="46"/>
      <c r="B1252" s="46"/>
      <c r="C1252" s="28"/>
      <c r="D1252" s="28"/>
      <c r="E1252" s="47"/>
    </row>
    <row r="1253">
      <c r="A1253" s="46"/>
      <c r="B1253" s="46"/>
      <c r="C1253" s="28"/>
      <c r="D1253" s="28"/>
      <c r="E1253" s="47"/>
    </row>
    <row r="1254">
      <c r="A1254" s="46"/>
      <c r="B1254" s="46"/>
      <c r="C1254" s="28"/>
      <c r="D1254" s="28"/>
      <c r="E1254" s="47"/>
    </row>
    <row r="1255">
      <c r="A1255" s="46"/>
      <c r="B1255" s="46"/>
      <c r="C1255" s="28"/>
      <c r="D1255" s="28"/>
      <c r="E1255" s="47"/>
    </row>
    <row r="1256">
      <c r="A1256" s="46"/>
      <c r="B1256" s="46"/>
      <c r="C1256" s="28"/>
      <c r="D1256" s="28"/>
      <c r="E1256" s="47"/>
    </row>
    <row r="1257">
      <c r="A1257" s="46"/>
      <c r="B1257" s="46"/>
      <c r="C1257" s="28"/>
      <c r="D1257" s="28"/>
      <c r="E1257" s="47"/>
    </row>
    <row r="1258">
      <c r="A1258" s="46"/>
      <c r="B1258" s="46"/>
      <c r="C1258" s="28"/>
      <c r="D1258" s="28"/>
      <c r="E1258" s="47"/>
    </row>
    <row r="1259">
      <c r="A1259" s="46"/>
      <c r="B1259" s="46"/>
      <c r="C1259" s="28"/>
      <c r="D1259" s="28"/>
      <c r="E1259" s="47"/>
    </row>
    <row r="1260">
      <c r="A1260" s="46"/>
      <c r="B1260" s="46"/>
      <c r="C1260" s="28"/>
      <c r="D1260" s="28"/>
      <c r="E1260" s="47"/>
    </row>
    <row r="1261">
      <c r="A1261" s="46"/>
      <c r="B1261" s="46"/>
      <c r="C1261" s="28"/>
      <c r="D1261" s="28"/>
      <c r="E1261" s="47"/>
    </row>
    <row r="1262">
      <c r="A1262" s="46"/>
      <c r="B1262" s="46"/>
      <c r="C1262" s="28"/>
      <c r="D1262" s="28"/>
      <c r="E1262" s="47"/>
    </row>
    <row r="1263">
      <c r="A1263" s="46"/>
      <c r="B1263" s="46"/>
      <c r="C1263" s="28"/>
      <c r="D1263" s="28"/>
      <c r="E1263" s="47"/>
    </row>
    <row r="1264">
      <c r="A1264" s="46"/>
      <c r="B1264" s="46"/>
      <c r="C1264" s="28"/>
      <c r="D1264" s="28"/>
      <c r="E1264" s="47"/>
    </row>
    <row r="1265">
      <c r="A1265" s="46"/>
      <c r="B1265" s="46"/>
      <c r="C1265" s="28"/>
      <c r="D1265" s="28"/>
      <c r="E1265" s="47"/>
    </row>
    <row r="1266">
      <c r="A1266" s="46"/>
      <c r="B1266" s="46"/>
      <c r="C1266" s="28"/>
      <c r="D1266" s="28"/>
      <c r="E1266" s="47"/>
    </row>
    <row r="1267">
      <c r="A1267" s="46"/>
      <c r="B1267" s="46"/>
      <c r="C1267" s="28"/>
      <c r="D1267" s="28"/>
      <c r="E1267" s="47"/>
    </row>
    <row r="1268">
      <c r="A1268" s="46"/>
      <c r="B1268" s="46"/>
      <c r="C1268" s="28"/>
      <c r="D1268" s="28"/>
      <c r="E1268" s="47"/>
    </row>
    <row r="1269">
      <c r="A1269" s="46"/>
      <c r="B1269" s="46"/>
      <c r="C1269" s="28"/>
      <c r="D1269" s="28"/>
      <c r="E1269" s="47"/>
    </row>
    <row r="1270">
      <c r="A1270" s="46"/>
      <c r="B1270" s="46"/>
      <c r="C1270" s="28"/>
      <c r="D1270" s="28"/>
      <c r="E1270" s="47"/>
    </row>
    <row r="1271">
      <c r="A1271" s="46"/>
      <c r="B1271" s="46"/>
      <c r="C1271" s="28"/>
      <c r="D1271" s="28"/>
      <c r="E1271" s="47"/>
    </row>
    <row r="1272">
      <c r="A1272" s="46"/>
      <c r="B1272" s="46"/>
      <c r="C1272" s="28"/>
      <c r="D1272" s="28"/>
      <c r="E1272" s="47"/>
    </row>
    <row r="1273">
      <c r="A1273" s="46"/>
      <c r="B1273" s="46"/>
      <c r="C1273" s="28"/>
      <c r="D1273" s="28"/>
      <c r="E1273" s="47"/>
    </row>
    <row r="1274">
      <c r="A1274" s="46"/>
      <c r="B1274" s="46"/>
      <c r="C1274" s="28"/>
      <c r="D1274" s="28"/>
      <c r="E1274" s="47"/>
    </row>
    <row r="1275">
      <c r="A1275" s="46"/>
      <c r="B1275" s="46"/>
      <c r="C1275" s="28"/>
      <c r="D1275" s="28"/>
      <c r="E1275" s="47"/>
    </row>
    <row r="1276">
      <c r="A1276" s="46"/>
      <c r="B1276" s="46"/>
      <c r="C1276" s="28"/>
      <c r="D1276" s="28"/>
      <c r="E1276" s="47"/>
    </row>
    <row r="1277">
      <c r="A1277" s="46"/>
      <c r="B1277" s="46"/>
      <c r="C1277" s="28"/>
      <c r="D1277" s="28"/>
      <c r="E1277" s="47"/>
    </row>
    <row r="1278">
      <c r="A1278" s="46"/>
      <c r="B1278" s="46"/>
      <c r="C1278" s="28"/>
      <c r="D1278" s="28"/>
      <c r="E1278" s="47"/>
    </row>
    <row r="1279">
      <c r="A1279" s="46"/>
      <c r="B1279" s="46"/>
      <c r="C1279" s="28"/>
      <c r="D1279" s="28"/>
      <c r="E1279" s="47"/>
    </row>
    <row r="1280">
      <c r="A1280" s="46"/>
      <c r="B1280" s="46"/>
      <c r="C1280" s="28"/>
      <c r="D1280" s="28"/>
      <c r="E1280" s="47"/>
    </row>
    <row r="1281">
      <c r="A1281" s="46"/>
      <c r="B1281" s="46"/>
      <c r="C1281" s="28"/>
      <c r="D1281" s="28"/>
      <c r="E1281" s="47"/>
    </row>
    <row r="1282">
      <c r="A1282" s="46"/>
      <c r="B1282" s="46"/>
      <c r="C1282" s="28"/>
      <c r="D1282" s="28"/>
      <c r="E1282" s="47"/>
    </row>
    <row r="1283">
      <c r="A1283" s="46"/>
      <c r="B1283" s="46"/>
      <c r="C1283" s="28"/>
      <c r="D1283" s="28"/>
      <c r="E1283" s="47"/>
    </row>
    <row r="1284">
      <c r="A1284" s="46"/>
      <c r="B1284" s="46"/>
      <c r="C1284" s="28"/>
      <c r="D1284" s="28"/>
      <c r="E1284" s="47"/>
    </row>
    <row r="1285">
      <c r="A1285" s="46"/>
      <c r="B1285" s="46"/>
      <c r="C1285" s="28"/>
      <c r="D1285" s="28"/>
      <c r="E1285" s="47"/>
    </row>
    <row r="1286">
      <c r="A1286" s="46"/>
      <c r="B1286" s="46"/>
      <c r="C1286" s="28"/>
      <c r="D1286" s="28"/>
      <c r="E1286" s="47"/>
    </row>
    <row r="1287">
      <c r="A1287" s="46"/>
      <c r="B1287" s="46"/>
      <c r="C1287" s="28"/>
      <c r="D1287" s="28"/>
      <c r="E1287" s="47"/>
    </row>
    <row r="1288">
      <c r="A1288" s="46"/>
      <c r="B1288" s="46"/>
      <c r="C1288" s="28"/>
      <c r="D1288" s="28"/>
      <c r="E1288" s="47"/>
    </row>
    <row r="1289">
      <c r="A1289" s="46"/>
      <c r="B1289" s="46"/>
      <c r="C1289" s="28"/>
      <c r="D1289" s="28"/>
      <c r="E1289" s="47"/>
    </row>
    <row r="1290">
      <c r="A1290" s="46"/>
      <c r="B1290" s="46"/>
      <c r="C1290" s="28"/>
      <c r="D1290" s="28"/>
      <c r="E1290" s="47"/>
    </row>
    <row r="1291">
      <c r="A1291" s="46"/>
      <c r="B1291" s="46"/>
      <c r="C1291" s="28"/>
      <c r="D1291" s="28"/>
      <c r="E1291" s="47"/>
    </row>
    <row r="1292">
      <c r="A1292" s="46"/>
      <c r="B1292" s="46"/>
      <c r="C1292" s="28"/>
      <c r="D1292" s="28"/>
      <c r="E1292" s="47"/>
    </row>
    <row r="1293">
      <c r="A1293" s="46"/>
      <c r="B1293" s="46"/>
      <c r="C1293" s="28"/>
      <c r="D1293" s="28"/>
      <c r="E1293" s="47"/>
    </row>
    <row r="1294">
      <c r="A1294" s="46"/>
      <c r="B1294" s="46"/>
      <c r="C1294" s="28"/>
      <c r="D1294" s="28"/>
      <c r="E1294" s="47"/>
    </row>
    <row r="1295">
      <c r="A1295" s="46"/>
      <c r="B1295" s="46"/>
      <c r="C1295" s="28"/>
      <c r="D1295" s="28"/>
      <c r="E1295" s="47"/>
    </row>
    <row r="1296">
      <c r="A1296" s="46"/>
      <c r="B1296" s="46"/>
      <c r="C1296" s="28"/>
      <c r="D1296" s="28"/>
      <c r="E1296" s="47"/>
    </row>
    <row r="1297">
      <c r="A1297" s="46"/>
      <c r="B1297" s="46"/>
      <c r="C1297" s="28"/>
      <c r="D1297" s="28"/>
      <c r="E1297" s="47"/>
    </row>
    <row r="1298">
      <c r="A1298" s="46"/>
      <c r="B1298" s="46"/>
      <c r="C1298" s="28"/>
      <c r="D1298" s="28"/>
      <c r="E1298" s="47"/>
    </row>
    <row r="1299">
      <c r="A1299" s="46"/>
      <c r="B1299" s="46"/>
      <c r="C1299" s="28"/>
      <c r="D1299" s="28"/>
      <c r="E1299" s="47"/>
    </row>
    <row r="1300">
      <c r="A1300" s="46"/>
      <c r="B1300" s="46"/>
      <c r="C1300" s="28"/>
      <c r="D1300" s="28"/>
      <c r="E1300" s="47"/>
    </row>
    <row r="1301">
      <c r="A1301" s="46"/>
      <c r="B1301" s="46"/>
      <c r="C1301" s="28"/>
      <c r="D1301" s="28"/>
      <c r="E1301" s="47"/>
    </row>
    <row r="1302">
      <c r="A1302" s="46"/>
      <c r="B1302" s="46"/>
      <c r="C1302" s="28"/>
      <c r="D1302" s="28"/>
      <c r="E1302" s="47"/>
    </row>
    <row r="1303">
      <c r="A1303" s="46"/>
      <c r="B1303" s="46"/>
      <c r="C1303" s="28"/>
      <c r="D1303" s="28"/>
      <c r="E1303" s="47"/>
    </row>
    <row r="1304">
      <c r="A1304" s="46"/>
      <c r="B1304" s="46"/>
      <c r="C1304" s="28"/>
      <c r="D1304" s="28"/>
      <c r="E1304" s="47"/>
    </row>
    <row r="1305">
      <c r="A1305" s="46"/>
      <c r="B1305" s="46"/>
      <c r="C1305" s="28"/>
      <c r="D1305" s="28"/>
      <c r="E1305" s="47"/>
    </row>
    <row r="1306">
      <c r="A1306" s="46"/>
      <c r="B1306" s="46"/>
      <c r="C1306" s="28"/>
      <c r="D1306" s="28"/>
      <c r="E1306" s="47"/>
    </row>
    <row r="1307">
      <c r="A1307" s="46"/>
      <c r="B1307" s="46"/>
      <c r="C1307" s="28"/>
      <c r="D1307" s="28"/>
      <c r="E1307" s="47"/>
    </row>
    <row r="1308">
      <c r="A1308" s="46"/>
      <c r="B1308" s="46"/>
      <c r="C1308" s="28"/>
      <c r="D1308" s="28"/>
      <c r="E1308" s="47"/>
    </row>
    <row r="1309">
      <c r="A1309" s="46"/>
      <c r="B1309" s="46"/>
      <c r="C1309" s="28"/>
      <c r="D1309" s="28"/>
      <c r="E1309" s="47"/>
    </row>
    <row r="1310">
      <c r="A1310" s="46"/>
      <c r="B1310" s="46"/>
      <c r="C1310" s="28"/>
      <c r="D1310" s="28"/>
      <c r="E1310" s="47"/>
    </row>
    <row r="1311">
      <c r="A1311" s="46"/>
      <c r="B1311" s="46"/>
      <c r="C1311" s="28"/>
      <c r="D1311" s="28"/>
      <c r="E1311" s="47"/>
    </row>
    <row r="1312">
      <c r="A1312" s="46"/>
      <c r="B1312" s="46"/>
      <c r="C1312" s="28"/>
      <c r="D1312" s="28"/>
      <c r="E1312" s="47"/>
    </row>
    <row r="1313">
      <c r="A1313" s="46"/>
      <c r="B1313" s="46"/>
      <c r="C1313" s="28"/>
      <c r="D1313" s="28"/>
      <c r="E1313" s="47"/>
    </row>
    <row r="1314">
      <c r="A1314" s="46"/>
      <c r="B1314" s="46"/>
      <c r="C1314" s="28"/>
      <c r="D1314" s="28"/>
      <c r="E1314" s="47"/>
    </row>
    <row r="1315">
      <c r="A1315" s="46"/>
      <c r="B1315" s="46"/>
      <c r="C1315" s="28"/>
      <c r="D1315" s="28"/>
      <c r="E1315" s="47"/>
    </row>
    <row r="1316">
      <c r="A1316" s="46"/>
      <c r="B1316" s="46"/>
      <c r="C1316" s="28"/>
      <c r="D1316" s="28"/>
      <c r="E1316" s="47"/>
    </row>
    <row r="1317">
      <c r="A1317" s="46"/>
      <c r="B1317" s="46"/>
      <c r="C1317" s="28"/>
      <c r="D1317" s="28"/>
      <c r="E1317" s="47"/>
    </row>
    <row r="1318">
      <c r="A1318" s="46"/>
      <c r="B1318" s="46"/>
      <c r="C1318" s="28"/>
      <c r="D1318" s="28"/>
      <c r="E1318" s="47"/>
    </row>
    <row r="1319">
      <c r="A1319" s="46"/>
      <c r="B1319" s="46"/>
      <c r="C1319" s="28"/>
      <c r="D1319" s="28"/>
      <c r="E1319" s="47"/>
    </row>
    <row r="1320">
      <c r="A1320" s="46"/>
      <c r="B1320" s="46"/>
      <c r="C1320" s="28"/>
      <c r="D1320" s="28"/>
      <c r="E1320" s="47"/>
    </row>
    <row r="1321">
      <c r="A1321" s="46"/>
      <c r="B1321" s="46"/>
      <c r="C1321" s="28"/>
      <c r="D1321" s="28"/>
      <c r="E1321" s="47"/>
    </row>
    <row r="1322">
      <c r="A1322" s="46"/>
      <c r="B1322" s="46"/>
      <c r="C1322" s="28"/>
      <c r="D1322" s="28"/>
      <c r="E1322" s="47"/>
    </row>
    <row r="1323">
      <c r="A1323" s="46"/>
      <c r="B1323" s="46"/>
      <c r="C1323" s="28"/>
      <c r="D1323" s="28"/>
      <c r="E1323" s="47"/>
    </row>
    <row r="1324">
      <c r="A1324" s="46"/>
      <c r="B1324" s="46"/>
      <c r="C1324" s="28"/>
      <c r="D1324" s="28"/>
      <c r="E1324" s="47"/>
    </row>
    <row r="1325">
      <c r="A1325" s="46"/>
      <c r="B1325" s="46"/>
      <c r="C1325" s="28"/>
      <c r="D1325" s="28"/>
      <c r="E1325" s="47"/>
    </row>
    <row r="1326">
      <c r="A1326" s="46"/>
      <c r="B1326" s="46"/>
      <c r="C1326" s="28"/>
      <c r="D1326" s="28"/>
      <c r="E1326" s="47"/>
    </row>
    <row r="1327">
      <c r="A1327" s="46"/>
      <c r="B1327" s="46"/>
      <c r="C1327" s="28"/>
      <c r="D1327" s="28"/>
      <c r="E1327" s="47"/>
    </row>
    <row r="1328">
      <c r="A1328" s="46"/>
      <c r="B1328" s="46"/>
      <c r="C1328" s="28"/>
      <c r="D1328" s="28"/>
      <c r="E1328" s="47"/>
    </row>
    <row r="1329">
      <c r="A1329" s="46"/>
      <c r="B1329" s="46"/>
      <c r="C1329" s="28"/>
      <c r="D1329" s="28"/>
      <c r="E1329" s="47"/>
    </row>
    <row r="1330">
      <c r="A1330" s="46"/>
      <c r="B1330" s="46"/>
      <c r="C1330" s="28"/>
      <c r="D1330" s="28"/>
      <c r="E1330" s="47"/>
    </row>
    <row r="1331">
      <c r="A1331" s="46"/>
      <c r="B1331" s="46"/>
      <c r="C1331" s="28"/>
      <c r="D1331" s="28"/>
      <c r="E1331" s="47"/>
    </row>
    <row r="1332">
      <c r="A1332" s="46"/>
      <c r="B1332" s="46"/>
      <c r="C1332" s="28"/>
      <c r="D1332" s="28"/>
      <c r="E1332" s="47"/>
    </row>
    <row r="1333">
      <c r="A1333" s="46"/>
      <c r="B1333" s="46"/>
      <c r="C1333" s="28"/>
      <c r="D1333" s="28"/>
      <c r="E1333" s="47"/>
    </row>
    <row r="1334">
      <c r="A1334" s="46"/>
      <c r="B1334" s="46"/>
      <c r="C1334" s="28"/>
      <c r="D1334" s="28"/>
      <c r="E1334" s="47"/>
    </row>
    <row r="1335">
      <c r="A1335" s="46"/>
      <c r="B1335" s="46"/>
      <c r="C1335" s="28"/>
      <c r="D1335" s="28"/>
      <c r="E1335" s="47"/>
    </row>
    <row r="1336">
      <c r="A1336" s="46"/>
      <c r="B1336" s="46"/>
      <c r="C1336" s="28"/>
      <c r="D1336" s="28"/>
      <c r="E1336" s="47"/>
    </row>
    <row r="1337">
      <c r="A1337" s="46"/>
      <c r="B1337" s="46"/>
      <c r="C1337" s="28"/>
      <c r="D1337" s="28"/>
      <c r="E1337" s="47"/>
    </row>
    <row r="1338">
      <c r="A1338" s="46"/>
      <c r="B1338" s="46"/>
      <c r="C1338" s="28"/>
      <c r="D1338" s="28"/>
      <c r="E1338" s="47"/>
    </row>
    <row r="1339">
      <c r="A1339" s="46"/>
      <c r="B1339" s="46"/>
      <c r="C1339" s="28"/>
      <c r="D1339" s="28"/>
      <c r="E1339" s="47"/>
    </row>
    <row r="1340">
      <c r="A1340" s="46"/>
      <c r="B1340" s="46"/>
      <c r="C1340" s="28"/>
      <c r="D1340" s="28"/>
      <c r="E1340" s="47"/>
    </row>
    <row r="1341">
      <c r="A1341" s="46"/>
      <c r="B1341" s="46"/>
      <c r="C1341" s="28"/>
      <c r="D1341" s="28"/>
      <c r="E1341" s="47"/>
    </row>
    <row r="1342">
      <c r="A1342" s="46"/>
      <c r="B1342" s="46"/>
      <c r="C1342" s="28"/>
      <c r="D1342" s="28"/>
      <c r="E1342" s="47"/>
    </row>
    <row r="1343">
      <c r="A1343" s="46"/>
      <c r="B1343" s="46"/>
      <c r="C1343" s="28"/>
      <c r="D1343" s="28"/>
      <c r="E1343" s="47"/>
    </row>
    <row r="1344">
      <c r="A1344" s="46"/>
      <c r="B1344" s="46"/>
      <c r="C1344" s="28"/>
      <c r="D1344" s="28"/>
      <c r="E1344" s="47"/>
    </row>
    <row r="1345">
      <c r="A1345" s="46"/>
      <c r="B1345" s="46"/>
      <c r="C1345" s="28"/>
      <c r="D1345" s="28"/>
      <c r="E1345" s="47"/>
    </row>
    <row r="1346">
      <c r="A1346" s="46"/>
      <c r="B1346" s="46"/>
      <c r="C1346" s="28"/>
      <c r="D1346" s="28"/>
      <c r="E1346" s="47"/>
    </row>
    <row r="1347">
      <c r="A1347" s="46"/>
      <c r="B1347" s="46"/>
      <c r="C1347" s="28"/>
      <c r="D1347" s="28"/>
      <c r="E1347" s="47"/>
    </row>
    <row r="1348">
      <c r="A1348" s="46"/>
      <c r="B1348" s="46"/>
      <c r="C1348" s="28"/>
      <c r="D1348" s="28"/>
      <c r="E1348" s="47"/>
    </row>
    <row r="1349">
      <c r="A1349" s="46"/>
      <c r="B1349" s="46"/>
      <c r="C1349" s="28"/>
      <c r="D1349" s="28"/>
      <c r="E1349" s="47"/>
    </row>
    <row r="1350">
      <c r="A1350" s="46"/>
      <c r="B1350" s="46"/>
      <c r="C1350" s="28"/>
      <c r="D1350" s="28"/>
      <c r="E1350" s="47"/>
    </row>
    <row r="1351">
      <c r="A1351" s="46"/>
      <c r="B1351" s="46"/>
      <c r="C1351" s="28"/>
      <c r="D1351" s="28"/>
      <c r="E1351" s="47"/>
    </row>
    <row r="1352">
      <c r="A1352" s="46"/>
      <c r="B1352" s="46"/>
      <c r="C1352" s="28"/>
      <c r="D1352" s="28"/>
      <c r="E1352" s="47"/>
    </row>
    <row r="1353">
      <c r="A1353" s="46"/>
      <c r="B1353" s="46"/>
      <c r="C1353" s="28"/>
      <c r="D1353" s="28"/>
      <c r="E1353" s="47"/>
    </row>
    <row r="1354">
      <c r="A1354" s="46"/>
      <c r="B1354" s="46"/>
      <c r="C1354" s="28"/>
      <c r="D1354" s="28"/>
      <c r="E1354" s="47"/>
    </row>
    <row r="1355">
      <c r="A1355" s="46"/>
      <c r="B1355" s="46"/>
      <c r="C1355" s="28"/>
      <c r="D1355" s="28"/>
      <c r="E1355" s="47"/>
    </row>
    <row r="1356">
      <c r="A1356" s="46"/>
      <c r="B1356" s="46"/>
      <c r="C1356" s="28"/>
      <c r="D1356" s="28"/>
      <c r="E1356" s="47"/>
    </row>
    <row r="1357">
      <c r="A1357" s="46"/>
      <c r="B1357" s="46"/>
      <c r="C1357" s="28"/>
      <c r="D1357" s="28"/>
      <c r="E1357" s="47"/>
    </row>
    <row r="1358">
      <c r="A1358" s="46"/>
      <c r="B1358" s="46"/>
      <c r="C1358" s="28"/>
      <c r="D1358" s="28"/>
      <c r="E1358" s="47"/>
    </row>
    <row r="1359">
      <c r="A1359" s="46"/>
      <c r="B1359" s="46"/>
      <c r="C1359" s="28"/>
      <c r="D1359" s="28"/>
      <c r="E1359" s="47"/>
    </row>
    <row r="1360">
      <c r="A1360" s="46"/>
      <c r="B1360" s="46"/>
      <c r="C1360" s="28"/>
      <c r="D1360" s="28"/>
      <c r="E1360" s="47"/>
    </row>
    <row r="1361">
      <c r="A1361" s="46"/>
      <c r="B1361" s="46"/>
      <c r="C1361" s="28"/>
      <c r="D1361" s="28"/>
      <c r="E1361" s="47"/>
    </row>
    <row r="1362">
      <c r="A1362" s="46"/>
      <c r="B1362" s="46"/>
      <c r="C1362" s="28"/>
      <c r="D1362" s="28"/>
      <c r="E1362" s="47"/>
    </row>
    <row r="1363">
      <c r="A1363" s="46"/>
      <c r="B1363" s="46"/>
      <c r="C1363" s="28"/>
      <c r="D1363" s="28"/>
      <c r="E1363" s="47"/>
    </row>
    <row r="1364">
      <c r="A1364" s="46"/>
      <c r="B1364" s="46"/>
      <c r="C1364" s="28"/>
      <c r="D1364" s="28"/>
      <c r="E1364" s="47"/>
    </row>
    <row r="1365">
      <c r="A1365" s="46"/>
      <c r="B1365" s="46"/>
      <c r="C1365" s="28"/>
      <c r="D1365" s="28"/>
      <c r="E1365" s="47"/>
    </row>
    <row r="1366">
      <c r="A1366" s="46"/>
      <c r="B1366" s="46"/>
      <c r="C1366" s="28"/>
      <c r="D1366" s="28"/>
      <c r="E1366" s="47"/>
    </row>
    <row r="1367">
      <c r="A1367" s="46"/>
      <c r="B1367" s="46"/>
      <c r="C1367" s="28"/>
      <c r="D1367" s="28"/>
      <c r="E1367" s="47"/>
    </row>
    <row r="1368">
      <c r="A1368" s="46"/>
      <c r="B1368" s="46"/>
      <c r="C1368" s="28"/>
      <c r="D1368" s="28"/>
      <c r="E1368" s="47"/>
    </row>
    <row r="1369">
      <c r="A1369" s="46"/>
      <c r="B1369" s="46"/>
      <c r="C1369" s="28"/>
      <c r="D1369" s="28"/>
      <c r="E1369" s="47"/>
    </row>
    <row r="1370">
      <c r="A1370" s="46"/>
      <c r="B1370" s="46"/>
      <c r="C1370" s="28"/>
      <c r="D1370" s="28"/>
      <c r="E1370" s="47"/>
    </row>
    <row r="1371">
      <c r="A1371" s="46"/>
      <c r="B1371" s="46"/>
      <c r="C1371" s="28"/>
      <c r="D1371" s="28"/>
      <c r="E1371" s="47"/>
    </row>
    <row r="1372">
      <c r="A1372" s="46"/>
      <c r="B1372" s="46"/>
      <c r="C1372" s="28"/>
      <c r="D1372" s="28"/>
      <c r="E1372" s="47"/>
    </row>
    <row r="1373">
      <c r="A1373" s="46"/>
      <c r="B1373" s="46"/>
      <c r="C1373" s="28"/>
      <c r="D1373" s="28"/>
      <c r="E1373" s="47"/>
    </row>
    <row r="1374">
      <c r="A1374" s="46"/>
      <c r="B1374" s="46"/>
      <c r="C1374" s="28"/>
      <c r="D1374" s="28"/>
      <c r="E1374" s="47"/>
    </row>
    <row r="1375">
      <c r="A1375" s="46"/>
      <c r="B1375" s="46"/>
      <c r="C1375" s="28"/>
      <c r="D1375" s="28"/>
      <c r="E1375" s="47"/>
    </row>
    <row r="1376">
      <c r="A1376" s="46"/>
      <c r="B1376" s="46"/>
      <c r="C1376" s="28"/>
      <c r="D1376" s="28"/>
      <c r="E1376" s="47"/>
    </row>
    <row r="1377">
      <c r="A1377" s="46"/>
      <c r="B1377" s="46"/>
      <c r="C1377" s="28"/>
      <c r="D1377" s="28"/>
      <c r="E1377" s="47"/>
    </row>
    <row r="1378">
      <c r="A1378" s="46"/>
      <c r="B1378" s="46"/>
      <c r="C1378" s="28"/>
      <c r="D1378" s="28"/>
      <c r="E1378" s="47"/>
    </row>
    <row r="1379">
      <c r="A1379" s="46"/>
      <c r="B1379" s="46"/>
      <c r="C1379" s="28"/>
      <c r="D1379" s="28"/>
      <c r="E1379" s="47"/>
    </row>
    <row r="1380">
      <c r="A1380" s="46"/>
      <c r="B1380" s="46"/>
      <c r="C1380" s="28"/>
      <c r="D1380" s="28"/>
      <c r="E1380" s="47"/>
    </row>
    <row r="1381">
      <c r="A1381" s="46"/>
      <c r="B1381" s="46"/>
      <c r="C1381" s="28"/>
      <c r="D1381" s="28"/>
      <c r="E1381" s="47"/>
    </row>
    <row r="1382">
      <c r="A1382" s="46"/>
      <c r="B1382" s="46"/>
      <c r="C1382" s="28"/>
      <c r="D1382" s="28"/>
      <c r="E1382" s="47"/>
    </row>
    <row r="1383">
      <c r="A1383" s="46"/>
      <c r="B1383" s="46"/>
      <c r="C1383" s="28"/>
      <c r="D1383" s="28"/>
      <c r="E1383" s="47"/>
    </row>
    <row r="1384">
      <c r="A1384" s="46"/>
      <c r="B1384" s="46"/>
      <c r="C1384" s="28"/>
      <c r="D1384" s="28"/>
      <c r="E1384" s="47"/>
    </row>
    <row r="1385">
      <c r="A1385" s="46"/>
      <c r="B1385" s="46"/>
      <c r="C1385" s="28"/>
      <c r="D1385" s="28"/>
      <c r="E1385" s="47"/>
    </row>
    <row r="1386">
      <c r="A1386" s="46"/>
      <c r="B1386" s="46"/>
      <c r="C1386" s="28"/>
      <c r="D1386" s="28"/>
      <c r="E1386" s="47"/>
    </row>
    <row r="1387">
      <c r="A1387" s="46"/>
      <c r="B1387" s="46"/>
      <c r="C1387" s="28"/>
      <c r="D1387" s="28"/>
      <c r="E1387" s="47"/>
    </row>
    <row r="1388">
      <c r="A1388" s="46"/>
      <c r="B1388" s="46"/>
      <c r="C1388" s="28"/>
      <c r="D1388" s="28"/>
      <c r="E1388" s="47"/>
    </row>
    <row r="1389">
      <c r="A1389" s="46"/>
      <c r="B1389" s="46"/>
      <c r="C1389" s="28"/>
      <c r="D1389" s="28"/>
      <c r="E1389" s="47"/>
    </row>
    <row r="1390">
      <c r="A1390" s="46"/>
      <c r="B1390" s="46"/>
      <c r="C1390" s="28"/>
      <c r="D1390" s="28"/>
      <c r="E1390" s="47"/>
    </row>
    <row r="1391">
      <c r="A1391" s="46"/>
      <c r="B1391" s="46"/>
      <c r="C1391" s="28"/>
      <c r="D1391" s="28"/>
      <c r="E1391" s="47"/>
    </row>
    <row r="1392">
      <c r="A1392" s="46"/>
      <c r="B1392" s="46"/>
      <c r="C1392" s="28"/>
      <c r="D1392" s="28"/>
      <c r="E1392" s="47"/>
    </row>
    <row r="1393">
      <c r="A1393" s="46"/>
      <c r="B1393" s="46"/>
      <c r="C1393" s="28"/>
      <c r="D1393" s="28"/>
      <c r="E1393" s="47"/>
    </row>
    <row r="1394">
      <c r="A1394" s="46"/>
      <c r="B1394" s="46"/>
      <c r="C1394" s="28"/>
      <c r="D1394" s="28"/>
      <c r="E1394" s="47"/>
    </row>
    <row r="1395">
      <c r="A1395" s="46"/>
      <c r="B1395" s="46"/>
      <c r="C1395" s="28"/>
      <c r="D1395" s="28"/>
      <c r="E1395" s="47"/>
    </row>
    <row r="1396">
      <c r="A1396" s="46"/>
      <c r="B1396" s="46"/>
      <c r="C1396" s="28"/>
      <c r="D1396" s="28"/>
      <c r="E1396" s="47"/>
    </row>
    <row r="1397">
      <c r="A1397" s="46"/>
      <c r="B1397" s="46"/>
      <c r="C1397" s="28"/>
      <c r="D1397" s="28"/>
      <c r="E1397" s="47"/>
    </row>
    <row r="1398">
      <c r="A1398" s="46"/>
      <c r="B1398" s="46"/>
      <c r="C1398" s="28"/>
      <c r="D1398" s="28"/>
      <c r="E1398" s="47"/>
    </row>
    <row r="1399">
      <c r="A1399" s="46"/>
      <c r="B1399" s="46"/>
      <c r="C1399" s="28"/>
      <c r="D1399" s="28"/>
      <c r="E1399" s="47"/>
    </row>
    <row r="1400">
      <c r="A1400" s="46"/>
      <c r="B1400" s="46"/>
      <c r="C1400" s="28"/>
      <c r="D1400" s="28"/>
      <c r="E1400" s="47"/>
    </row>
    <row r="1401">
      <c r="A1401" s="46"/>
      <c r="B1401" s="46"/>
      <c r="C1401" s="28"/>
      <c r="D1401" s="28"/>
      <c r="E1401" s="47"/>
    </row>
    <row r="1402">
      <c r="A1402" s="46"/>
      <c r="B1402" s="46"/>
      <c r="C1402" s="28"/>
      <c r="D1402" s="28"/>
      <c r="E1402" s="47"/>
    </row>
    <row r="1403">
      <c r="A1403" s="46"/>
      <c r="B1403" s="46"/>
      <c r="C1403" s="28"/>
      <c r="D1403" s="28"/>
      <c r="E1403" s="47"/>
    </row>
    <row r="1404">
      <c r="A1404" s="46"/>
      <c r="B1404" s="46"/>
      <c r="C1404" s="28"/>
      <c r="D1404" s="28"/>
      <c r="E1404" s="47"/>
    </row>
    <row r="1405">
      <c r="A1405" s="46"/>
      <c r="B1405" s="46"/>
      <c r="C1405" s="28"/>
      <c r="D1405" s="28"/>
      <c r="E1405" s="47"/>
    </row>
    <row r="1406">
      <c r="A1406" s="46"/>
      <c r="B1406" s="46"/>
      <c r="C1406" s="28"/>
      <c r="D1406" s="28"/>
      <c r="E1406" s="47"/>
    </row>
    <row r="1407">
      <c r="A1407" s="46"/>
      <c r="B1407" s="46"/>
      <c r="C1407" s="28"/>
      <c r="D1407" s="28"/>
      <c r="E1407" s="47"/>
    </row>
    <row r="1408">
      <c r="A1408" s="46"/>
      <c r="B1408" s="46"/>
      <c r="C1408" s="28"/>
      <c r="D1408" s="28"/>
      <c r="E1408" s="47"/>
    </row>
    <row r="1409">
      <c r="A1409" s="46"/>
      <c r="B1409" s="46"/>
      <c r="C1409" s="28"/>
      <c r="D1409" s="28"/>
      <c r="E1409" s="47"/>
    </row>
    <row r="1410">
      <c r="A1410" s="46"/>
      <c r="B1410" s="46"/>
      <c r="C1410" s="28"/>
      <c r="D1410" s="28"/>
      <c r="E1410" s="47"/>
    </row>
    <row r="1411">
      <c r="A1411" s="46"/>
      <c r="B1411" s="46"/>
      <c r="C1411" s="28"/>
      <c r="D1411" s="28"/>
      <c r="E1411" s="47"/>
    </row>
    <row r="1412">
      <c r="A1412" s="46"/>
      <c r="B1412" s="46"/>
      <c r="C1412" s="28"/>
      <c r="D1412" s="28"/>
      <c r="E1412" s="47"/>
    </row>
    <row r="1413">
      <c r="A1413" s="46"/>
      <c r="B1413" s="46"/>
      <c r="C1413" s="28"/>
      <c r="D1413" s="28"/>
      <c r="E1413" s="47"/>
    </row>
    <row r="1414">
      <c r="A1414" s="46"/>
      <c r="B1414" s="46"/>
      <c r="C1414" s="28"/>
      <c r="D1414" s="28"/>
      <c r="E1414" s="47"/>
    </row>
    <row r="1415">
      <c r="A1415" s="46"/>
      <c r="B1415" s="46"/>
      <c r="C1415" s="28"/>
      <c r="D1415" s="28"/>
      <c r="E1415" s="47"/>
    </row>
    <row r="1416">
      <c r="A1416" s="46"/>
      <c r="B1416" s="46"/>
      <c r="C1416" s="28"/>
      <c r="D1416" s="28"/>
      <c r="E1416" s="47"/>
    </row>
    <row r="1417">
      <c r="A1417" s="46"/>
      <c r="B1417" s="46"/>
      <c r="C1417" s="28"/>
      <c r="D1417" s="28"/>
      <c r="E1417" s="47"/>
    </row>
    <row r="1418">
      <c r="A1418" s="46"/>
      <c r="B1418" s="46"/>
      <c r="C1418" s="28"/>
      <c r="D1418" s="28"/>
      <c r="E1418" s="47"/>
    </row>
    <row r="1419">
      <c r="A1419" s="46"/>
      <c r="B1419" s="46"/>
      <c r="C1419" s="28"/>
      <c r="D1419" s="28"/>
      <c r="E1419" s="47"/>
    </row>
    <row r="1420">
      <c r="A1420" s="46"/>
      <c r="B1420" s="46"/>
      <c r="C1420" s="28"/>
      <c r="D1420" s="28"/>
      <c r="E1420" s="47"/>
    </row>
    <row r="1421">
      <c r="A1421" s="46"/>
      <c r="B1421" s="46"/>
      <c r="C1421" s="28"/>
      <c r="D1421" s="28"/>
      <c r="E1421" s="47"/>
    </row>
    <row r="1422">
      <c r="A1422" s="46"/>
      <c r="B1422" s="46"/>
      <c r="C1422" s="28"/>
      <c r="D1422" s="28"/>
      <c r="E1422" s="47"/>
    </row>
    <row r="1423">
      <c r="A1423" s="46"/>
      <c r="B1423" s="46"/>
      <c r="C1423" s="28"/>
      <c r="D1423" s="28"/>
      <c r="E1423" s="47"/>
    </row>
    <row r="1424">
      <c r="A1424" s="46"/>
      <c r="B1424" s="46"/>
      <c r="C1424" s="28"/>
      <c r="D1424" s="28"/>
      <c r="E1424" s="47"/>
    </row>
    <row r="1425">
      <c r="A1425" s="46"/>
      <c r="B1425" s="46"/>
      <c r="C1425" s="28"/>
      <c r="D1425" s="28"/>
      <c r="E1425" s="47"/>
    </row>
    <row r="1426">
      <c r="A1426" s="46"/>
      <c r="B1426" s="46"/>
      <c r="C1426" s="28"/>
      <c r="D1426" s="28"/>
      <c r="E1426" s="47"/>
    </row>
    <row r="1427">
      <c r="A1427" s="46"/>
      <c r="B1427" s="46"/>
      <c r="C1427" s="28"/>
      <c r="D1427" s="28"/>
      <c r="E1427" s="47"/>
    </row>
    <row r="1428">
      <c r="A1428" s="46"/>
      <c r="B1428" s="46"/>
      <c r="C1428" s="28"/>
      <c r="D1428" s="28"/>
      <c r="E1428" s="47"/>
    </row>
    <row r="1429">
      <c r="A1429" s="46"/>
      <c r="B1429" s="46"/>
      <c r="C1429" s="28"/>
      <c r="D1429" s="28"/>
      <c r="E1429" s="47"/>
    </row>
    <row r="1430">
      <c r="A1430" s="46"/>
      <c r="B1430" s="46"/>
      <c r="C1430" s="28"/>
      <c r="D1430" s="28"/>
      <c r="E1430" s="47"/>
    </row>
    <row r="1431">
      <c r="A1431" s="46"/>
      <c r="B1431" s="46"/>
      <c r="C1431" s="28"/>
      <c r="D1431" s="28"/>
      <c r="E1431" s="47"/>
    </row>
    <row r="1432">
      <c r="A1432" s="46"/>
      <c r="B1432" s="46"/>
      <c r="C1432" s="28"/>
      <c r="D1432" s="28"/>
      <c r="E1432" s="47"/>
    </row>
    <row r="1433">
      <c r="A1433" s="46"/>
      <c r="B1433" s="46"/>
      <c r="C1433" s="28"/>
      <c r="D1433" s="28"/>
      <c r="E1433" s="47"/>
    </row>
    <row r="1434">
      <c r="A1434" s="46"/>
      <c r="B1434" s="46"/>
      <c r="C1434" s="28"/>
      <c r="D1434" s="28"/>
      <c r="E1434" s="47"/>
    </row>
    <row r="1435">
      <c r="A1435" s="46"/>
      <c r="B1435" s="46"/>
      <c r="C1435" s="28"/>
      <c r="D1435" s="28"/>
      <c r="E1435" s="47"/>
    </row>
    <row r="1436">
      <c r="A1436" s="46"/>
      <c r="B1436" s="46"/>
      <c r="C1436" s="28"/>
      <c r="D1436" s="28"/>
      <c r="E1436" s="47"/>
    </row>
    <row r="1437">
      <c r="A1437" s="46"/>
      <c r="B1437" s="46"/>
      <c r="C1437" s="28"/>
      <c r="D1437" s="28"/>
      <c r="E1437" s="47"/>
    </row>
    <row r="1438">
      <c r="A1438" s="46"/>
      <c r="B1438" s="46"/>
      <c r="C1438" s="28"/>
      <c r="D1438" s="28"/>
      <c r="E1438" s="47"/>
    </row>
    <row r="1439">
      <c r="A1439" s="46"/>
      <c r="B1439" s="46"/>
      <c r="C1439" s="28"/>
      <c r="D1439" s="28"/>
      <c r="E1439" s="47"/>
    </row>
    <row r="1440">
      <c r="A1440" s="46"/>
      <c r="B1440" s="46"/>
      <c r="C1440" s="28"/>
      <c r="D1440" s="28"/>
      <c r="E1440" s="47"/>
    </row>
    <row r="1441">
      <c r="A1441" s="46"/>
      <c r="B1441" s="46"/>
      <c r="C1441" s="28"/>
      <c r="D1441" s="28"/>
      <c r="E1441" s="47"/>
    </row>
    <row r="1442">
      <c r="A1442" s="46"/>
      <c r="B1442" s="46"/>
      <c r="C1442" s="28"/>
      <c r="D1442" s="28"/>
      <c r="E1442" s="47"/>
    </row>
    <row r="1443">
      <c r="A1443" s="46"/>
      <c r="B1443" s="46"/>
      <c r="C1443" s="28"/>
      <c r="D1443" s="28"/>
      <c r="E1443" s="47"/>
    </row>
    <row r="1444">
      <c r="A1444" s="46"/>
      <c r="B1444" s="46"/>
      <c r="C1444" s="28"/>
      <c r="D1444" s="28"/>
      <c r="E1444" s="47"/>
    </row>
    <row r="1445">
      <c r="A1445" s="46"/>
      <c r="B1445" s="46"/>
      <c r="C1445" s="28"/>
      <c r="D1445" s="28"/>
      <c r="E1445" s="47"/>
    </row>
    <row r="1446">
      <c r="A1446" s="46"/>
      <c r="B1446" s="46"/>
      <c r="C1446" s="28"/>
      <c r="D1446" s="28"/>
      <c r="E1446" s="47"/>
    </row>
    <row r="1447">
      <c r="A1447" s="46"/>
      <c r="B1447" s="46"/>
      <c r="C1447" s="28"/>
      <c r="D1447" s="28"/>
      <c r="E1447" s="47"/>
    </row>
    <row r="1448">
      <c r="A1448" s="46"/>
      <c r="B1448" s="46"/>
      <c r="C1448" s="28"/>
      <c r="D1448" s="28"/>
      <c r="E1448" s="47"/>
    </row>
    <row r="1449">
      <c r="A1449" s="46"/>
      <c r="B1449" s="46"/>
      <c r="C1449" s="28"/>
      <c r="D1449" s="28"/>
      <c r="E1449" s="47"/>
    </row>
    <row r="1450">
      <c r="A1450" s="46"/>
      <c r="B1450" s="46"/>
      <c r="C1450" s="28"/>
      <c r="D1450" s="28"/>
      <c r="E1450" s="47"/>
    </row>
    <row r="1451">
      <c r="A1451" s="46"/>
      <c r="B1451" s="46"/>
      <c r="C1451" s="28"/>
      <c r="D1451" s="28"/>
      <c r="E1451" s="47"/>
    </row>
    <row r="1452">
      <c r="A1452" s="46"/>
      <c r="B1452" s="46"/>
      <c r="C1452" s="28"/>
      <c r="D1452" s="28"/>
      <c r="E1452" s="47"/>
    </row>
    <row r="1453">
      <c r="A1453" s="46"/>
      <c r="B1453" s="46"/>
      <c r="C1453" s="28"/>
      <c r="D1453" s="28"/>
      <c r="E1453" s="47"/>
    </row>
    <row r="1454">
      <c r="A1454" s="46"/>
      <c r="B1454" s="46"/>
      <c r="C1454" s="28"/>
      <c r="D1454" s="28"/>
      <c r="E1454" s="47"/>
    </row>
    <row r="1455">
      <c r="A1455" s="46"/>
      <c r="B1455" s="46"/>
      <c r="C1455" s="28"/>
      <c r="D1455" s="28"/>
      <c r="E1455" s="47"/>
    </row>
    <row r="1456">
      <c r="A1456" s="46"/>
      <c r="B1456" s="46"/>
      <c r="C1456" s="28"/>
      <c r="D1456" s="28"/>
      <c r="E1456" s="47"/>
    </row>
    <row r="1457">
      <c r="A1457" s="46"/>
      <c r="B1457" s="46"/>
      <c r="C1457" s="28"/>
      <c r="D1457" s="28"/>
      <c r="E1457" s="47"/>
    </row>
    <row r="1458">
      <c r="A1458" s="46"/>
      <c r="B1458" s="46"/>
      <c r="C1458" s="28"/>
      <c r="D1458" s="28"/>
      <c r="E1458" s="47"/>
    </row>
    <row r="1459">
      <c r="A1459" s="46"/>
      <c r="B1459" s="46"/>
      <c r="C1459" s="28"/>
      <c r="D1459" s="28"/>
      <c r="E1459" s="47"/>
    </row>
    <row r="1460">
      <c r="A1460" s="46"/>
      <c r="B1460" s="46"/>
      <c r="C1460" s="28"/>
      <c r="D1460" s="28"/>
      <c r="E1460" s="47"/>
    </row>
    <row r="1461">
      <c r="A1461" s="46"/>
      <c r="B1461" s="46"/>
      <c r="C1461" s="28"/>
      <c r="D1461" s="28"/>
      <c r="E1461" s="47"/>
    </row>
    <row r="1462">
      <c r="A1462" s="46"/>
      <c r="B1462" s="46"/>
      <c r="C1462" s="28"/>
      <c r="D1462" s="28"/>
      <c r="E1462" s="47"/>
    </row>
    <row r="1463">
      <c r="A1463" s="46"/>
      <c r="B1463" s="46"/>
      <c r="C1463" s="28"/>
      <c r="D1463" s="28"/>
      <c r="E1463" s="47"/>
    </row>
    <row r="1464">
      <c r="A1464" s="46"/>
      <c r="B1464" s="46"/>
      <c r="C1464" s="28"/>
      <c r="D1464" s="28"/>
      <c r="E1464" s="47"/>
    </row>
    <row r="1465">
      <c r="A1465" s="46"/>
      <c r="B1465" s="46"/>
      <c r="C1465" s="28"/>
      <c r="D1465" s="28"/>
      <c r="E1465" s="47"/>
    </row>
    <row r="1466">
      <c r="A1466" s="46"/>
      <c r="B1466" s="46"/>
      <c r="C1466" s="28"/>
      <c r="D1466" s="28"/>
      <c r="E1466" s="47"/>
    </row>
    <row r="1467">
      <c r="A1467" s="46"/>
      <c r="B1467" s="46"/>
      <c r="C1467" s="28"/>
      <c r="D1467" s="28"/>
      <c r="E1467" s="47"/>
    </row>
    <row r="1468">
      <c r="A1468" s="46"/>
      <c r="B1468" s="46"/>
      <c r="C1468" s="28"/>
      <c r="D1468" s="28"/>
      <c r="E1468" s="47"/>
    </row>
    <row r="1469">
      <c r="A1469" s="46"/>
      <c r="B1469" s="46"/>
      <c r="C1469" s="28"/>
      <c r="D1469" s="28"/>
      <c r="E1469" s="47"/>
    </row>
    <row r="1470">
      <c r="A1470" s="46"/>
      <c r="B1470" s="46"/>
      <c r="C1470" s="28"/>
      <c r="D1470" s="28"/>
      <c r="E1470" s="47"/>
    </row>
    <row r="1471">
      <c r="A1471" s="46"/>
      <c r="B1471" s="46"/>
      <c r="C1471" s="28"/>
      <c r="D1471" s="28"/>
      <c r="E1471" s="47"/>
    </row>
    <row r="1472">
      <c r="A1472" s="46"/>
      <c r="B1472" s="46"/>
      <c r="C1472" s="28"/>
      <c r="D1472" s="28"/>
      <c r="E1472" s="47"/>
    </row>
    <row r="1473">
      <c r="A1473" s="46"/>
      <c r="B1473" s="46"/>
      <c r="C1473" s="28"/>
      <c r="D1473" s="28"/>
      <c r="E1473" s="47"/>
    </row>
    <row r="1474">
      <c r="A1474" s="46"/>
      <c r="B1474" s="46"/>
      <c r="C1474" s="28"/>
      <c r="D1474" s="28"/>
      <c r="E1474" s="47"/>
    </row>
    <row r="1475">
      <c r="A1475" s="46"/>
      <c r="B1475" s="46"/>
      <c r="C1475" s="28"/>
      <c r="D1475" s="28"/>
      <c r="E1475" s="47"/>
    </row>
    <row r="1476">
      <c r="A1476" s="46"/>
      <c r="B1476" s="46"/>
      <c r="C1476" s="28"/>
      <c r="D1476" s="28"/>
      <c r="E1476" s="47"/>
    </row>
    <row r="1477">
      <c r="A1477" s="46"/>
      <c r="B1477" s="46"/>
      <c r="C1477" s="28"/>
      <c r="D1477" s="28"/>
      <c r="E1477" s="47"/>
    </row>
    <row r="1478">
      <c r="A1478" s="46"/>
      <c r="B1478" s="46"/>
      <c r="C1478" s="28"/>
      <c r="D1478" s="28"/>
      <c r="E1478" s="47"/>
    </row>
    <row r="1479">
      <c r="A1479" s="46"/>
      <c r="B1479" s="46"/>
      <c r="C1479" s="28"/>
      <c r="D1479" s="28"/>
      <c r="E1479" s="47"/>
    </row>
    <row r="1480">
      <c r="A1480" s="46"/>
      <c r="B1480" s="46"/>
      <c r="C1480" s="28"/>
      <c r="D1480" s="28"/>
      <c r="E1480" s="47"/>
    </row>
    <row r="1481">
      <c r="A1481" s="46"/>
      <c r="B1481" s="46"/>
      <c r="C1481" s="28"/>
      <c r="D1481" s="28"/>
      <c r="E1481" s="47"/>
    </row>
    <row r="1482">
      <c r="A1482" s="46"/>
      <c r="B1482" s="46"/>
      <c r="C1482" s="28"/>
      <c r="D1482" s="28"/>
      <c r="E1482" s="47"/>
    </row>
    <row r="1483">
      <c r="A1483" s="46"/>
      <c r="B1483" s="46"/>
      <c r="C1483" s="28"/>
      <c r="D1483" s="28"/>
      <c r="E1483" s="47"/>
    </row>
    <row r="1484">
      <c r="A1484" s="46"/>
      <c r="B1484" s="46"/>
      <c r="C1484" s="28"/>
      <c r="D1484" s="28"/>
      <c r="E1484" s="47"/>
    </row>
    <row r="1485">
      <c r="A1485" s="46"/>
      <c r="B1485" s="46"/>
      <c r="C1485" s="28"/>
      <c r="D1485" s="28"/>
      <c r="E1485" s="47"/>
    </row>
    <row r="1486">
      <c r="A1486" s="46"/>
      <c r="B1486" s="46"/>
      <c r="C1486" s="28"/>
      <c r="D1486" s="28"/>
      <c r="E1486" s="47"/>
    </row>
    <row r="1487">
      <c r="A1487" s="46"/>
      <c r="B1487" s="46"/>
      <c r="C1487" s="28"/>
      <c r="D1487" s="28"/>
      <c r="E1487" s="47"/>
    </row>
    <row r="1488">
      <c r="A1488" s="46"/>
      <c r="B1488" s="46"/>
      <c r="C1488" s="28"/>
      <c r="D1488" s="28"/>
      <c r="E1488" s="47"/>
    </row>
    <row r="1489">
      <c r="A1489" s="46"/>
      <c r="B1489" s="46"/>
      <c r="C1489" s="28"/>
      <c r="D1489" s="28"/>
      <c r="E1489" s="47"/>
    </row>
    <row r="1490">
      <c r="A1490" s="46"/>
      <c r="B1490" s="46"/>
      <c r="C1490" s="28"/>
      <c r="D1490" s="28"/>
      <c r="E1490" s="47"/>
    </row>
    <row r="1491">
      <c r="A1491" s="46"/>
      <c r="B1491" s="46"/>
      <c r="C1491" s="28"/>
      <c r="D1491" s="28"/>
      <c r="E1491" s="47"/>
    </row>
    <row r="1492">
      <c r="A1492" s="46"/>
      <c r="B1492" s="46"/>
      <c r="C1492" s="28"/>
      <c r="D1492" s="28"/>
      <c r="E1492" s="47"/>
    </row>
    <row r="1493">
      <c r="A1493" s="46"/>
      <c r="B1493" s="46"/>
      <c r="C1493" s="28"/>
      <c r="D1493" s="28"/>
      <c r="E1493" s="47"/>
    </row>
    <row r="1494">
      <c r="A1494" s="46"/>
      <c r="B1494" s="46"/>
      <c r="C1494" s="28"/>
      <c r="D1494" s="28"/>
      <c r="E1494" s="47"/>
    </row>
    <row r="1495">
      <c r="A1495" s="46"/>
      <c r="B1495" s="46"/>
      <c r="C1495" s="28"/>
      <c r="D1495" s="28"/>
      <c r="E1495" s="47"/>
    </row>
    <row r="1496">
      <c r="A1496" s="46"/>
      <c r="B1496" s="46"/>
      <c r="C1496" s="28"/>
      <c r="D1496" s="28"/>
      <c r="E1496" s="47"/>
    </row>
    <row r="1497">
      <c r="A1497" s="46"/>
      <c r="B1497" s="46"/>
      <c r="C1497" s="28"/>
      <c r="D1497" s="28"/>
      <c r="E1497" s="47"/>
    </row>
    <row r="1498">
      <c r="A1498" s="46"/>
      <c r="B1498" s="46"/>
      <c r="C1498" s="28"/>
      <c r="D1498" s="28"/>
      <c r="E1498" s="47"/>
    </row>
    <row r="1499">
      <c r="A1499" s="46"/>
      <c r="B1499" s="46"/>
      <c r="C1499" s="28"/>
      <c r="D1499" s="28"/>
      <c r="E1499" s="47"/>
    </row>
    <row r="1500">
      <c r="A1500" s="46"/>
      <c r="B1500" s="46"/>
      <c r="C1500" s="28"/>
      <c r="D1500" s="28"/>
      <c r="E1500" s="47"/>
    </row>
    <row r="1501">
      <c r="A1501" s="46"/>
      <c r="B1501" s="46"/>
      <c r="C1501" s="28"/>
      <c r="D1501" s="28"/>
      <c r="E1501" s="47"/>
    </row>
  </sheetData>
  <autoFilter ref="$A$1:$E$15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88"/>
    <col customWidth="1" min="3" max="3" width="18.38"/>
    <col customWidth="1" min="4" max="4" width="25.0"/>
  </cols>
  <sheetData>
    <row r="1">
      <c r="A1" s="29"/>
      <c r="B1" s="30" t="s">
        <v>2</v>
      </c>
      <c r="C1" s="31" t="s">
        <v>3</v>
      </c>
      <c r="D1" s="31" t="s">
        <v>5</v>
      </c>
      <c r="E1" s="32"/>
      <c r="F1" s="33"/>
      <c r="G1" s="34"/>
      <c r="H1" s="35"/>
      <c r="I1" s="35"/>
      <c r="J1" s="35"/>
    </row>
    <row r="2">
      <c r="A2" s="36" t="s">
        <v>493</v>
      </c>
      <c r="B2" s="37">
        <f>AVERAGE(raw_data!B$2:B$501)</f>
        <v>4.974</v>
      </c>
      <c r="C2" s="37">
        <f>AVERAGE(raw_data!C$2:C$501)</f>
        <v>10.06386</v>
      </c>
      <c r="D2" s="37">
        <f>AVERAGE(raw_data!D$2:D$501)</f>
        <v>119.9864</v>
      </c>
      <c r="E2" s="38"/>
      <c r="F2" s="39" t="s">
        <v>494</v>
      </c>
      <c r="G2" s="40"/>
      <c r="H2" s="40"/>
      <c r="I2" s="40"/>
      <c r="J2" s="41"/>
    </row>
    <row r="3">
      <c r="A3" s="36" t="s">
        <v>495</v>
      </c>
      <c r="B3" s="37">
        <f>MEDIAN(raw_data!B2:B501)</f>
        <v>5</v>
      </c>
      <c r="C3" s="37">
        <f>MEDIAN(raw_data!C2:C501)</f>
        <v>6.71</v>
      </c>
      <c r="D3" s="42">
        <f>MEDIAN(raw_data!D2:D501)</f>
        <v>119.55</v>
      </c>
      <c r="E3" s="32"/>
      <c r="F3" s="43" t="str">
        <f t="array" ref="F3:F5">UNIQUE(raw_data_edited!E2:E999)</f>
        <v>normal</v>
      </c>
      <c r="G3" s="44">
        <f>COUNTIF(raw_data_edited!E2:E999, "normal")</f>
        <v>477</v>
      </c>
      <c r="I3" s="45"/>
      <c r="J3" s="45"/>
    </row>
    <row r="4">
      <c r="A4" s="36" t="s">
        <v>496</v>
      </c>
      <c r="B4" s="37">
        <f>MODE(raw_data!B2:B501)</f>
        <v>4</v>
      </c>
      <c r="C4" s="37">
        <f>MODE(raw_data!C2:C501)</f>
        <v>4.38</v>
      </c>
      <c r="D4" s="37">
        <f>MODE(raw_data!D2:D501)</f>
        <v>109.2</v>
      </c>
      <c r="E4" s="32"/>
      <c r="F4" s="43" t="s">
        <v>497</v>
      </c>
      <c r="G4" s="44">
        <f>COUNTIF(raw_data_edited!E2:E999,"high outlier")</f>
        <v>23</v>
      </c>
      <c r="I4" s="45"/>
      <c r="J4" s="45"/>
    </row>
    <row r="5">
      <c r="A5" s="36" t="s">
        <v>498</v>
      </c>
      <c r="B5" s="37">
        <f>min(raw_data!B2:B501)</f>
        <v>0</v>
      </c>
      <c r="C5" s="37">
        <f>min(raw_data!C2:C501)</f>
        <v>0.01</v>
      </c>
      <c r="D5" s="37">
        <f>min(raw_data!D2:D501)</f>
        <v>40.1</v>
      </c>
      <c r="E5" s="46"/>
      <c r="F5" s="47"/>
      <c r="G5" s="46"/>
      <c r="H5" s="46"/>
      <c r="I5" s="46"/>
      <c r="J5" s="46"/>
    </row>
    <row r="6">
      <c r="A6" s="36" t="s">
        <v>499</v>
      </c>
      <c r="B6" s="37">
        <f>max(raw_data!B2:B501)</f>
        <v>12</v>
      </c>
      <c r="C6" s="37">
        <f>max(raw_data!C2:C501)</f>
        <v>77.24</v>
      </c>
      <c r="D6" s="37">
        <f>max(raw_data!D2:D501)</f>
        <v>203</v>
      </c>
      <c r="E6" s="46"/>
      <c r="F6" s="48" t="s">
        <v>500</v>
      </c>
      <c r="G6" s="46"/>
      <c r="H6" s="46"/>
      <c r="I6" s="46"/>
      <c r="J6" s="46"/>
    </row>
    <row r="7">
      <c r="A7" s="49" t="s">
        <v>501</v>
      </c>
      <c r="B7" s="37">
        <f>stdev(raw_data!B2:B501)</f>
        <v>2.261759295</v>
      </c>
      <c r="C7" s="37">
        <f>stdev(raw_data!C2:C501)</f>
        <v>10.40266777</v>
      </c>
      <c r="D7" s="37">
        <f>stdev(raw_data!D2:D501)</f>
        <v>30.98328037</v>
      </c>
      <c r="E7" s="46"/>
      <c r="F7" s="50"/>
      <c r="G7" s="51"/>
      <c r="H7" s="51"/>
      <c r="I7" s="51"/>
      <c r="J7" s="52"/>
      <c r="L7" s="53"/>
    </row>
    <row r="8">
      <c r="A8" s="29"/>
      <c r="B8" s="54"/>
      <c r="C8" s="54"/>
      <c r="D8" s="54"/>
      <c r="E8" s="46"/>
      <c r="F8" s="55"/>
      <c r="G8" s="46"/>
      <c r="H8" s="46"/>
      <c r="I8" s="46"/>
      <c r="J8" s="56"/>
    </row>
    <row r="9">
      <c r="A9" s="36" t="s">
        <v>502</v>
      </c>
      <c r="B9" s="37">
        <f>QUARTILE(raw_data!B2:B501, 1)</f>
        <v>3</v>
      </c>
      <c r="C9" s="37">
        <f>QUARTILE(raw_data_edited!$C$2:$C999, 1)</f>
        <v>2.8125</v>
      </c>
      <c r="D9" s="37">
        <f>QUARTILE(raw_data_edited!$D$2:$D999, 1)</f>
        <v>99.025</v>
      </c>
      <c r="E9" s="46"/>
      <c r="F9" s="55"/>
      <c r="G9" s="46"/>
      <c r="H9" s="46"/>
      <c r="I9" s="46"/>
      <c r="J9" s="56"/>
    </row>
    <row r="10">
      <c r="A10" s="57" t="s">
        <v>503</v>
      </c>
      <c r="B10" s="37">
        <f>QUARTILE(raw_data!B2:B502, 2)</f>
        <v>5</v>
      </c>
      <c r="C10" s="37">
        <f>QUARTILE(raw_data_edited!$C$2:$C999, 2)</f>
        <v>6.71</v>
      </c>
      <c r="D10" s="37">
        <f>QUARTILE(raw_data!D2:D502, 2)</f>
        <v>119.55</v>
      </c>
      <c r="E10" s="46"/>
      <c r="F10" s="55"/>
      <c r="G10" s="58"/>
      <c r="H10" s="46"/>
      <c r="I10" s="46"/>
      <c r="J10" s="56"/>
    </row>
    <row r="11">
      <c r="A11" s="36" t="s">
        <v>504</v>
      </c>
      <c r="B11" s="37">
        <f>QUARTILE(raw_data!B$2:B$500, 3)</f>
        <v>6</v>
      </c>
      <c r="C11" s="37">
        <f>QUARTILE(raw_data_edited!$C$2:$C999, 3)</f>
        <v>14.05</v>
      </c>
      <c r="D11" s="37">
        <f>QUARTILE(raw_data_edited!$D$2:$D999, 3)</f>
        <v>141.15</v>
      </c>
      <c r="E11" s="46"/>
      <c r="F11" s="55"/>
      <c r="G11" s="59"/>
      <c r="H11" s="46"/>
      <c r="I11" s="46"/>
      <c r="J11" s="56"/>
    </row>
    <row r="12">
      <c r="A12" s="36" t="s">
        <v>505</v>
      </c>
      <c r="B12" s="37">
        <f t="shared" ref="B12:D12" si="1">B11-B9</f>
        <v>3</v>
      </c>
      <c r="C12" s="37">
        <f t="shared" si="1"/>
        <v>11.2375</v>
      </c>
      <c r="D12" s="37">
        <f t="shared" si="1"/>
        <v>42.125</v>
      </c>
      <c r="E12" s="46"/>
      <c r="F12" s="55"/>
      <c r="G12" s="46"/>
      <c r="H12" s="46"/>
      <c r="I12" s="46"/>
      <c r="J12" s="56"/>
    </row>
    <row r="13">
      <c r="A13" s="29"/>
      <c r="B13" s="54"/>
      <c r="C13" s="54"/>
      <c r="D13" s="54"/>
      <c r="E13" s="58"/>
      <c r="F13" s="55"/>
      <c r="G13" s="46"/>
      <c r="H13" s="46"/>
      <c r="I13" s="46"/>
      <c r="J13" s="56"/>
    </row>
    <row r="14">
      <c r="A14" s="57" t="s">
        <v>506</v>
      </c>
      <c r="B14" s="37">
        <f>B9-(1.5*B12)</f>
        <v>-1.5</v>
      </c>
      <c r="C14" s="37">
        <f t="shared" ref="C14:D14" si="2">C9-1.5*C12</f>
        <v>-14.04375</v>
      </c>
      <c r="D14" s="37">
        <f t="shared" si="2"/>
        <v>35.8375</v>
      </c>
      <c r="E14" s="46"/>
      <c r="F14" s="55"/>
      <c r="G14" s="46"/>
      <c r="H14" s="46"/>
      <c r="I14" s="46"/>
      <c r="J14" s="56"/>
    </row>
    <row r="15">
      <c r="A15" s="57" t="s">
        <v>507</v>
      </c>
      <c r="B15" s="37">
        <f>B11+(1.5*B12)</f>
        <v>10.5</v>
      </c>
      <c r="C15" s="37">
        <f t="shared" ref="C15:D15" si="3">C11+1.5*C12</f>
        <v>30.90625</v>
      </c>
      <c r="D15" s="37">
        <f t="shared" si="3"/>
        <v>204.3375</v>
      </c>
      <c r="E15" s="46"/>
      <c r="F15" s="55"/>
      <c r="G15" s="46"/>
      <c r="H15" s="46"/>
      <c r="I15" s="46"/>
      <c r="J15" s="56"/>
    </row>
    <row r="16">
      <c r="A16" s="60"/>
      <c r="C16" s="61"/>
      <c r="D16" s="61"/>
      <c r="E16" s="46"/>
      <c r="F16" s="62"/>
      <c r="G16" s="58"/>
      <c r="H16" s="46"/>
      <c r="I16" s="46"/>
      <c r="J16" s="56"/>
    </row>
    <row r="17">
      <c r="B17" s="63"/>
      <c r="D17" s="22"/>
      <c r="E17" s="46"/>
      <c r="F17" s="64"/>
      <c r="G17" s="65"/>
      <c r="H17" s="65"/>
      <c r="I17" s="65"/>
      <c r="J17" s="66"/>
    </row>
    <row r="18">
      <c r="B18" s="63"/>
      <c r="E18" s="46"/>
      <c r="F18" s="67"/>
      <c r="G18" s="34"/>
      <c r="H18" s="68"/>
      <c r="I18" s="69"/>
      <c r="J18" s="69"/>
    </row>
    <row r="19">
      <c r="B19" s="63"/>
      <c r="E19" s="46"/>
      <c r="F19" s="70" t="s">
        <v>508</v>
      </c>
      <c r="G19" s="40"/>
      <c r="H19" s="40"/>
      <c r="I19" s="40"/>
      <c r="J19" s="41"/>
    </row>
    <row r="20">
      <c r="E20" s="46"/>
      <c r="F20" s="71"/>
      <c r="G20" s="72" t="s">
        <v>498</v>
      </c>
      <c r="H20" s="72" t="s">
        <v>502</v>
      </c>
      <c r="I20" s="73" t="s">
        <v>504</v>
      </c>
      <c r="J20" s="73" t="s">
        <v>499</v>
      </c>
    </row>
    <row r="21">
      <c r="E21" s="46"/>
      <c r="F21" s="74" t="s">
        <v>509</v>
      </c>
      <c r="G21" s="75">
        <f>B5</f>
        <v>0</v>
      </c>
      <c r="H21" s="75">
        <f>B9</f>
        <v>3</v>
      </c>
      <c r="I21" s="75">
        <f>B11</f>
        <v>6</v>
      </c>
      <c r="J21" s="75">
        <f>B6</f>
        <v>12</v>
      </c>
    </row>
    <row r="22">
      <c r="A22" s="21"/>
      <c r="B22" s="21"/>
      <c r="C22" s="21"/>
      <c r="D22" s="21"/>
      <c r="E22" s="46"/>
      <c r="F22" s="76"/>
      <c r="G22" s="46"/>
      <c r="H22" s="46"/>
      <c r="I22" s="46"/>
      <c r="J22" s="46"/>
    </row>
    <row r="23">
      <c r="A23" s="21"/>
      <c r="B23" s="21"/>
      <c r="C23" s="21"/>
      <c r="D23" s="21"/>
    </row>
    <row r="24">
      <c r="A24" s="21"/>
      <c r="B24" s="21"/>
      <c r="C24" s="21"/>
      <c r="D24" s="21"/>
      <c r="E24" s="46"/>
      <c r="F24" s="48" t="s">
        <v>510</v>
      </c>
      <c r="G24" s="46"/>
      <c r="H24" s="46"/>
      <c r="I24" s="46"/>
      <c r="J24" s="46"/>
    </row>
    <row r="25">
      <c r="A25" s="21"/>
      <c r="B25" s="21"/>
      <c r="C25" s="21"/>
      <c r="D25" s="21"/>
      <c r="E25" s="46"/>
      <c r="F25" s="50"/>
      <c r="G25" s="51"/>
      <c r="H25" s="51"/>
      <c r="I25" s="51"/>
      <c r="J25" s="52"/>
    </row>
    <row r="26">
      <c r="E26" s="46"/>
      <c r="F26" s="55"/>
      <c r="G26" s="46"/>
      <c r="H26" s="46"/>
      <c r="I26" s="46"/>
      <c r="J26" s="56"/>
    </row>
    <row r="27">
      <c r="E27" s="46"/>
      <c r="F27" s="55"/>
      <c r="G27" s="46"/>
      <c r="H27" s="46"/>
      <c r="I27" s="46"/>
      <c r="J27" s="56"/>
    </row>
    <row r="28">
      <c r="A28" s="21"/>
      <c r="B28" s="21"/>
      <c r="C28" s="21"/>
      <c r="D28" s="21"/>
      <c r="E28" s="46"/>
      <c r="F28" s="55"/>
      <c r="G28" s="46"/>
      <c r="H28" s="46"/>
      <c r="I28" s="46"/>
      <c r="J28" s="56"/>
    </row>
    <row r="29">
      <c r="B29" s="63"/>
      <c r="E29" s="46"/>
      <c r="F29" s="55"/>
      <c r="G29" s="46"/>
      <c r="H29" s="46"/>
      <c r="I29" s="46"/>
      <c r="J29" s="56"/>
    </row>
    <row r="30">
      <c r="B30" s="63"/>
      <c r="E30" s="46"/>
      <c r="F30" s="55"/>
      <c r="G30" s="46"/>
      <c r="H30" s="46"/>
      <c r="I30" s="46"/>
      <c r="J30" s="56"/>
    </row>
    <row r="31">
      <c r="B31" s="63"/>
      <c r="E31" s="46"/>
      <c r="F31" s="55"/>
      <c r="G31" s="46"/>
      <c r="H31" s="46"/>
      <c r="I31" s="46"/>
      <c r="J31" s="56"/>
    </row>
    <row r="32">
      <c r="B32" s="63"/>
      <c r="E32" s="46"/>
      <c r="F32" s="55"/>
      <c r="G32" s="46"/>
      <c r="H32" s="46"/>
      <c r="I32" s="46"/>
      <c r="J32" s="56"/>
    </row>
    <row r="33">
      <c r="B33" s="63"/>
      <c r="E33" s="46"/>
      <c r="F33" s="55"/>
      <c r="G33" s="46"/>
      <c r="H33" s="46"/>
      <c r="I33" s="46"/>
      <c r="J33" s="56"/>
    </row>
    <row r="34">
      <c r="B34" s="63"/>
      <c r="E34" s="46"/>
      <c r="F34" s="55"/>
      <c r="G34" s="46"/>
      <c r="H34" s="46"/>
      <c r="I34" s="46"/>
      <c r="J34" s="56"/>
    </row>
    <row r="35">
      <c r="E35" s="58"/>
      <c r="F35" s="64"/>
      <c r="G35" s="65"/>
      <c r="H35" s="65"/>
      <c r="I35" s="35"/>
      <c r="J35" s="77"/>
    </row>
    <row r="36">
      <c r="B36" s="63"/>
      <c r="E36" s="46"/>
      <c r="F36" s="46"/>
      <c r="G36" s="46"/>
      <c r="H36" s="46"/>
      <c r="I36" s="46"/>
      <c r="J36" s="46"/>
    </row>
    <row r="37">
      <c r="B37" s="63"/>
      <c r="E37" s="59"/>
      <c r="F37" s="59"/>
      <c r="G37" s="59"/>
      <c r="H37" s="59"/>
      <c r="I37" s="46"/>
      <c r="J37" s="46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  <c r="E46" s="22"/>
      <c r="F46" s="59"/>
    </row>
    <row r="47">
      <c r="B47" s="63"/>
      <c r="F47" s="59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  <c r="D58" s="22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  <c r="D69" s="22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  <row r="75">
      <c r="B75" s="63"/>
    </row>
    <row r="76">
      <c r="B76" s="63"/>
    </row>
    <row r="77">
      <c r="B77" s="63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</sheetData>
  <mergeCells count="4">
    <mergeCell ref="F1:G1"/>
    <mergeCell ref="F2:J2"/>
    <mergeCell ref="F18:G18"/>
    <mergeCell ref="F19:J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61.38"/>
  </cols>
  <sheetData>
    <row r="1">
      <c r="A1" s="2" t="s">
        <v>1</v>
      </c>
      <c r="B1" s="4"/>
    </row>
    <row r="2">
      <c r="A2" s="6" t="s">
        <v>4</v>
      </c>
    </row>
    <row r="3">
      <c r="A3" s="8"/>
      <c r="B3" s="10"/>
    </row>
    <row r="4">
      <c r="A4" s="6" t="s">
        <v>7</v>
      </c>
    </row>
    <row r="5">
      <c r="A5" s="8"/>
      <c r="B5" s="10"/>
    </row>
    <row r="6">
      <c r="A6" s="8" t="s">
        <v>8</v>
      </c>
    </row>
    <row r="7">
      <c r="A7" s="8"/>
      <c r="B7" s="12"/>
    </row>
    <row r="8">
      <c r="A8" s="8" t="s">
        <v>10</v>
      </c>
    </row>
    <row r="9">
      <c r="A9" s="15"/>
      <c r="B9" s="16"/>
    </row>
    <row r="10">
      <c r="A10" s="18" t="s">
        <v>11</v>
      </c>
    </row>
    <row r="11">
      <c r="B11" s="7"/>
    </row>
    <row r="12">
      <c r="B12" s="7"/>
    </row>
    <row r="13">
      <c r="B13" s="7"/>
    </row>
    <row r="14">
      <c r="B14" s="19"/>
      <c r="C14" s="20"/>
      <c r="D14" s="20"/>
      <c r="E14" s="20"/>
      <c r="F14" s="20"/>
      <c r="G14" s="20"/>
      <c r="H14" s="20"/>
    </row>
    <row r="15">
      <c r="A15" s="22"/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mergeCells count="5">
    <mergeCell ref="A2:B2"/>
    <mergeCell ref="A4:B4"/>
    <mergeCell ref="A6:B6"/>
    <mergeCell ref="A8:B8"/>
    <mergeCell ref="A10:B10"/>
  </mergeCells>
  <drawing r:id="rId1"/>
</worksheet>
</file>